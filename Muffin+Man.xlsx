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386F1F-BEF0-4D61-9AEF-BE1A7AB6D3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osts">Sheet1!$D$3:$D$6</definedName>
    <definedName name="Ingredients">Sheet1!$B$9</definedName>
    <definedName name="Overheads">Sheet1!$B$11</definedName>
    <definedName name="Revenue">Sheet1!$C$3:$C$6</definedName>
    <definedName name="Sale_Price">Sheet1!$B$10</definedName>
    <definedName name="Sales">Sheet1!$B$4:$B$6</definedName>
  </definedNames>
  <calcPr calcId="191029"/>
  <extLs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6" i="1" l="1"/>
  <c r="E5" i="1"/>
  <c r="E4" i="1"/>
  <c r="D6" i="1"/>
  <c r="D5" i="1"/>
  <c r="D4" i="1"/>
  <c r="C6" i="1"/>
  <c r="C5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<sst xmlns="http://schemas.openxmlformats.org/spreadsheetml/2006/main" count="12" uniqueCount="12">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</sst>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7" sqref="E7"/>
    </sheetView>
  </sheetViews>
  <sheetFormatPr defaultColWidth="14.44140625" defaultRowHeight="15" customHeight="1" x14ac:dyDescent="0.3"/>
  <cols>
    <col min="1" max="1" width="58.33203125" customWidth="1"/>
    <col min="2" max="2" width="8.6640625" customWidth="1"/>
    <col min="3" max="3" width="9.88671875" customWidth="1"/>
    <col min="4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/>
    <row r="3" spans="1:5" ht="14.25" customHeigh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3">
      <c r="A4" s="3" t="s">
        <v>5</v>
      </c>
      <c r="B4" s="4">
        <v>300</v>
      </c>
      <c r="C4" s="4">
        <f>Sale_Price*Sales</f>
        <v>525</v>
      </c>
      <c r="D4" s="4">
        <f>(Ingredients*Sales)+(Overheads*Sales)</f>
        <v>240</v>
      </c>
      <c r="E4" s="4">
        <f>Revenue-Costs</f>
        <v>285</v>
      </c>
    </row>
    <row r="5" spans="1:5" ht="14.25" customHeight="1" x14ac:dyDescent="0.3">
      <c r="A5" s="3" t="s">
        <v>6</v>
      </c>
      <c r="B5" s="4">
        <v>250</v>
      </c>
      <c r="C5" s="4">
        <f>Sale_Price*Sales</f>
        <v>437.5</v>
      </c>
      <c r="D5" s="4">
        <f>(Overheads*Sales)+(Ingredients*Sales)</f>
        <v>200</v>
      </c>
      <c r="E5" s="4">
        <f>Revenue-Costs</f>
        <v>237.5</v>
      </c>
    </row>
    <row r="6" spans="1:5" ht="14.25" customHeight="1" x14ac:dyDescent="0.3">
      <c r="A6" s="3" t="s">
        <v>7</v>
      </c>
      <c r="B6" s="4">
        <v>400</v>
      </c>
      <c r="C6" s="4">
        <f>Sale_Price*Sales</f>
        <v>700</v>
      </c>
      <c r="D6" s="4">
        <f>(Ingredients*Sales)+(Overheads*Sales)</f>
        <v>320</v>
      </c>
      <c r="E6" s="4">
        <f>Revenue-Costs</f>
        <v>380</v>
      </c>
    </row>
    <row r="7" spans="1:5" ht="14.25" customHeight="1" x14ac:dyDescent="0.3"/>
    <row r="8" spans="1:5" ht="14.25" customHeight="1" x14ac:dyDescent="0.3"/>
    <row r="9" spans="1:5" ht="14.25" customHeight="1" x14ac:dyDescent="0.3">
      <c r="A9" s="3" t="s">
        <v>8</v>
      </c>
      <c r="B9" s="4">
        <v>0.32</v>
      </c>
    </row>
    <row r="10" spans="1:5" ht="14.25" customHeight="1" x14ac:dyDescent="0.3">
      <c r="A10" s="3" t="s">
        <v>9</v>
      </c>
      <c r="B10" s="4">
        <v>1.75</v>
      </c>
    </row>
    <row r="11" spans="1:5" ht="14.25" customHeight="1" x14ac:dyDescent="0.3">
      <c r="A11" s="3" t="s">
        <v>10</v>
      </c>
      <c r="B11" s="4">
        <v>0.48</v>
      </c>
    </row>
    <row r="12" spans="1:5" ht="14.25" customHeight="1" x14ac:dyDescent="0.3">
      <c r="A12" s="5" t="s">
        <v>11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Costs</vt:lpstr>
      <vt:lpstr>Ingredients</vt:lpstr>
      <vt:lpstr>Overheads</vt:lpstr>
      <vt:lpstr>Revenue</vt:lpstr>
      <vt:lpstr>Sale_Price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Anurag Patil</cp:lastModifiedBy>
  <dcterms:created xsi:type="dcterms:W3CDTF">2015-03-27T13:38:36Z</dcterms:created>
  <dcterms:modified xsi:type="dcterms:W3CDTF">2025-09-02T16:08:41Z</dcterms:modified>
</cp:coreProperties>
</file>