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min\Documents\Data Analytics-Excel\"/>
    </mc:Choice>
  </mc:AlternateContent>
  <xr:revisionPtr revIDLastSave="0" documentId="13_ncr:1_{1A4B56B8-FE53-4F55-A076-6C75D178C769}" xr6:coauthVersionLast="47" xr6:coauthVersionMax="47" xr10:uidLastSave="{00000000-0000-0000-0000-000000000000}"/>
  <bookViews>
    <workbookView xWindow="-108" yWindow="-108" windowWidth="23256" windowHeight="12576" firstSheet="1" activeTab="3" xr2:uid="{00000000-000D-0000-FFFF-FFFF00000000}"/>
  </bookViews>
  <sheets>
    <sheet name="Manufacturing_Price" sheetId="2" r:id="rId1"/>
    <sheet name="Country-UnitsSold" sheetId="3" r:id="rId2"/>
    <sheet name="Product-Sales-Profit" sheetId="4" r:id="rId3"/>
    <sheet name="Sheet5" sheetId="5" r:id="rId4"/>
    <sheet name="Sheet1" sheetId="1" r:id="rId5"/>
  </sheets>
  <definedNames>
    <definedName name="_xlnm._FilterDatabase" localSheetId="4" hidden="1">Sheet1!$A$1:$P$701</definedName>
    <definedName name="Slicer_Country">#N/A</definedName>
    <definedName name="Slicer_Discounts">#N/A</definedName>
    <definedName name="Slicer_Sale_Price">#N/A</definedName>
  </definedNames>
  <calcPr calcId="191029"/>
  <pivotCaches>
    <pivotCache cacheId="7" r:id="rId6"/>
    <pivotCache cacheId="26" r:id="rId7"/>
    <pivotCache cacheId="3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2">
      <go:sheetsCustomData xmlns:go="http://customooxmlschemas.google.com/" r:id="rId12" roundtripDataChecksum="SBY/WglNr5mOc/gWQwuFIJbzj21q7lDsvIh+WXhpfnI="/>
    </ext>
  </extLst>
</workbook>
</file>

<file path=xl/calcChain.xml><?xml version="1.0" encoding="utf-8"?>
<calcChain xmlns="http://schemas.openxmlformats.org/spreadsheetml/2006/main">
  <c r="L59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3" i="1"/>
  <c r="L2" i="1"/>
  <c r="I87"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H5" i="1"/>
  <c r="H6" i="1"/>
  <c r="H7" i="1"/>
  <c r="H8" i="1"/>
  <c r="J8" i="1" s="1"/>
  <c r="H9" i="1"/>
  <c r="H10" i="1"/>
  <c r="H11" i="1"/>
  <c r="J11" i="1" s="1"/>
  <c r="H12" i="1"/>
  <c r="J12" i="1" s="1"/>
  <c r="H13" i="1"/>
  <c r="J13" i="1" s="1"/>
  <c r="H14" i="1"/>
  <c r="H15" i="1"/>
  <c r="J15" i="1" s="1"/>
  <c r="H16" i="1"/>
  <c r="H17" i="1"/>
  <c r="H18" i="1"/>
  <c r="H19" i="1"/>
  <c r="H20" i="1"/>
  <c r="J20" i="1" s="1"/>
  <c r="H21" i="1"/>
  <c r="H22" i="1"/>
  <c r="H23" i="1"/>
  <c r="H24" i="1"/>
  <c r="J24" i="1" s="1"/>
  <c r="H25" i="1"/>
  <c r="H26" i="1"/>
  <c r="J26" i="1" s="1"/>
  <c r="H27" i="1"/>
  <c r="J27" i="1" s="1"/>
  <c r="H28" i="1"/>
  <c r="J28" i="1" s="1"/>
  <c r="H29" i="1"/>
  <c r="J29" i="1" s="1"/>
  <c r="H30" i="1"/>
  <c r="H31" i="1"/>
  <c r="J31" i="1" s="1"/>
  <c r="H32" i="1"/>
  <c r="H33" i="1"/>
  <c r="H34" i="1"/>
  <c r="H35" i="1"/>
  <c r="J35" i="1" s="1"/>
  <c r="H36" i="1"/>
  <c r="J36" i="1" s="1"/>
  <c r="H37" i="1"/>
  <c r="H38" i="1"/>
  <c r="J38" i="1" s="1"/>
  <c r="H39" i="1"/>
  <c r="H40" i="1"/>
  <c r="J40" i="1" s="1"/>
  <c r="H41" i="1"/>
  <c r="H42" i="1"/>
  <c r="H43" i="1"/>
  <c r="J43" i="1" s="1"/>
  <c r="H44" i="1"/>
  <c r="J44" i="1" s="1"/>
  <c r="H45" i="1"/>
  <c r="J45" i="1" s="1"/>
  <c r="H46" i="1"/>
  <c r="H47" i="1"/>
  <c r="J47" i="1" s="1"/>
  <c r="H48" i="1"/>
  <c r="H49" i="1"/>
  <c r="H50" i="1"/>
  <c r="H51" i="1"/>
  <c r="H52" i="1"/>
  <c r="J52" i="1" s="1"/>
  <c r="H53" i="1"/>
  <c r="H54" i="1"/>
  <c r="J54" i="1" s="1"/>
  <c r="H55" i="1"/>
  <c r="I55" i="1" s="1"/>
  <c r="H56" i="1"/>
  <c r="H57" i="1"/>
  <c r="I57" i="1" s="1"/>
  <c r="H58" i="1"/>
  <c r="I58" i="1" s="1"/>
  <c r="H59" i="1"/>
  <c r="H60" i="1"/>
  <c r="H61" i="1"/>
  <c r="H62" i="1"/>
  <c r="H63" i="1"/>
  <c r="H64" i="1"/>
  <c r="H65" i="1"/>
  <c r="H66" i="1"/>
  <c r="I66" i="1" s="1"/>
  <c r="H67" i="1"/>
  <c r="H68" i="1"/>
  <c r="H69" i="1"/>
  <c r="H70" i="1"/>
  <c r="I70" i="1" s="1"/>
  <c r="H71" i="1"/>
  <c r="I71" i="1" s="1"/>
  <c r="H72" i="1"/>
  <c r="H73" i="1"/>
  <c r="H74" i="1"/>
  <c r="H75" i="1"/>
  <c r="H76" i="1"/>
  <c r="H77" i="1"/>
  <c r="H78" i="1"/>
  <c r="H79" i="1"/>
  <c r="H80" i="1"/>
  <c r="H81" i="1"/>
  <c r="H82" i="1"/>
  <c r="I82" i="1" s="1"/>
  <c r="H83" i="1"/>
  <c r="H84" i="1"/>
  <c r="H85" i="1"/>
  <c r="H86" i="1"/>
  <c r="H87" i="1"/>
  <c r="H88" i="1"/>
  <c r="H89" i="1"/>
  <c r="H90" i="1"/>
  <c r="I90" i="1" s="1"/>
  <c r="H91" i="1"/>
  <c r="H92" i="1"/>
  <c r="H93" i="1"/>
  <c r="H94" i="1"/>
  <c r="H95" i="1"/>
  <c r="H96" i="1"/>
  <c r="H97" i="1"/>
  <c r="H98" i="1"/>
  <c r="I98" i="1" s="1"/>
  <c r="H99" i="1"/>
  <c r="H100" i="1"/>
  <c r="H101" i="1"/>
  <c r="I101" i="1" s="1"/>
  <c r="H102" i="1"/>
  <c r="H103" i="1"/>
  <c r="I103" i="1" s="1"/>
  <c r="H104" i="1"/>
  <c r="H105" i="1"/>
  <c r="H106" i="1"/>
  <c r="I106" i="1" s="1"/>
  <c r="H107" i="1"/>
  <c r="H108" i="1"/>
  <c r="H109" i="1"/>
  <c r="H110" i="1"/>
  <c r="H111" i="1"/>
  <c r="H112" i="1"/>
  <c r="H113" i="1"/>
  <c r="H114" i="1"/>
  <c r="I114" i="1" s="1"/>
  <c r="H115" i="1"/>
  <c r="H116" i="1"/>
  <c r="H117" i="1"/>
  <c r="H118" i="1"/>
  <c r="H119" i="1"/>
  <c r="I119" i="1" s="1"/>
  <c r="H120" i="1"/>
  <c r="H121" i="1"/>
  <c r="H122" i="1"/>
  <c r="I122" i="1" s="1"/>
  <c r="H123" i="1"/>
  <c r="H124" i="1"/>
  <c r="H125" i="1"/>
  <c r="H126" i="1"/>
  <c r="H127" i="1"/>
  <c r="H128" i="1"/>
  <c r="H129" i="1"/>
  <c r="H130" i="1"/>
  <c r="I130" i="1" s="1"/>
  <c r="H131" i="1"/>
  <c r="H132" i="1"/>
  <c r="H133" i="1"/>
  <c r="H134" i="1"/>
  <c r="H135" i="1"/>
  <c r="I135" i="1" s="1"/>
  <c r="H136" i="1"/>
  <c r="H137" i="1"/>
  <c r="H138" i="1"/>
  <c r="I138" i="1" s="1"/>
  <c r="H139" i="1"/>
  <c r="H140" i="1"/>
  <c r="H141" i="1"/>
  <c r="H142" i="1"/>
  <c r="H143" i="1"/>
  <c r="H144" i="1"/>
  <c r="H145" i="1"/>
  <c r="H146" i="1"/>
  <c r="I146" i="1" s="1"/>
  <c r="H147" i="1"/>
  <c r="H148" i="1"/>
  <c r="H149" i="1"/>
  <c r="H150" i="1"/>
  <c r="H151" i="1"/>
  <c r="I151" i="1" s="1"/>
  <c r="H152" i="1"/>
  <c r="H153" i="1"/>
  <c r="H154" i="1"/>
  <c r="H155" i="1"/>
  <c r="H156" i="1"/>
  <c r="H157" i="1"/>
  <c r="H158" i="1"/>
  <c r="H159" i="1"/>
  <c r="H160" i="1"/>
  <c r="H161" i="1"/>
  <c r="H162" i="1"/>
  <c r="I162" i="1" s="1"/>
  <c r="H163" i="1"/>
  <c r="H164" i="1"/>
  <c r="H165" i="1"/>
  <c r="H166" i="1"/>
  <c r="H167" i="1"/>
  <c r="I167" i="1" s="1"/>
  <c r="H168" i="1"/>
  <c r="H169" i="1"/>
  <c r="H170" i="1"/>
  <c r="H171" i="1"/>
  <c r="H172" i="1"/>
  <c r="H173" i="1"/>
  <c r="H174" i="1"/>
  <c r="H175" i="1"/>
  <c r="H176" i="1"/>
  <c r="H177" i="1"/>
  <c r="H178" i="1"/>
  <c r="I178" i="1" s="1"/>
  <c r="H179" i="1"/>
  <c r="H180" i="1"/>
  <c r="H181" i="1"/>
  <c r="H182" i="1"/>
  <c r="H183" i="1"/>
  <c r="I183" i="1" s="1"/>
  <c r="H184" i="1"/>
  <c r="H185" i="1"/>
  <c r="H186" i="1"/>
  <c r="I186" i="1" s="1"/>
  <c r="H187" i="1"/>
  <c r="H188" i="1"/>
  <c r="H189" i="1"/>
  <c r="H190" i="1"/>
  <c r="H191" i="1"/>
  <c r="H192" i="1"/>
  <c r="H193" i="1"/>
  <c r="H194" i="1"/>
  <c r="I194" i="1" s="1"/>
  <c r="H195" i="1"/>
  <c r="H196" i="1"/>
  <c r="H197" i="1"/>
  <c r="H198" i="1"/>
  <c r="I198" i="1" s="1"/>
  <c r="H199" i="1"/>
  <c r="I199" i="1" s="1"/>
  <c r="H200" i="1"/>
  <c r="H201" i="1"/>
  <c r="H202" i="1"/>
  <c r="I202" i="1" s="1"/>
  <c r="H203" i="1"/>
  <c r="H204" i="1"/>
  <c r="H205" i="1"/>
  <c r="H206" i="1"/>
  <c r="H207" i="1"/>
  <c r="H208" i="1"/>
  <c r="H209" i="1"/>
  <c r="H210" i="1"/>
  <c r="I210" i="1" s="1"/>
  <c r="H211" i="1"/>
  <c r="H212" i="1"/>
  <c r="H213" i="1"/>
  <c r="H214" i="1"/>
  <c r="I214" i="1" s="1"/>
  <c r="H215" i="1"/>
  <c r="I215" i="1" s="1"/>
  <c r="H216" i="1"/>
  <c r="H217" i="1"/>
  <c r="H218" i="1"/>
  <c r="I218" i="1" s="1"/>
  <c r="H219" i="1"/>
  <c r="H220" i="1"/>
  <c r="H221" i="1"/>
  <c r="H222" i="1"/>
  <c r="H223" i="1"/>
  <c r="H224" i="1"/>
  <c r="H225" i="1"/>
  <c r="H226" i="1"/>
  <c r="I226" i="1" s="1"/>
  <c r="H227" i="1"/>
  <c r="H228" i="1"/>
  <c r="H229" i="1"/>
  <c r="H230" i="1"/>
  <c r="H231" i="1"/>
  <c r="H232" i="1"/>
  <c r="H233" i="1"/>
  <c r="H234" i="1"/>
  <c r="I234" i="1" s="1"/>
  <c r="H235" i="1"/>
  <c r="H236" i="1"/>
  <c r="H237" i="1"/>
  <c r="H238" i="1"/>
  <c r="H239" i="1"/>
  <c r="H240" i="1"/>
  <c r="H241" i="1"/>
  <c r="H242" i="1"/>
  <c r="I242" i="1" s="1"/>
  <c r="H243" i="1"/>
  <c r="H244" i="1"/>
  <c r="H245" i="1"/>
  <c r="H246" i="1"/>
  <c r="H247" i="1"/>
  <c r="I247" i="1" s="1"/>
  <c r="H248" i="1"/>
  <c r="H249" i="1"/>
  <c r="H250" i="1"/>
  <c r="I250" i="1" s="1"/>
  <c r="H251" i="1"/>
  <c r="H252" i="1"/>
  <c r="H253" i="1"/>
  <c r="H254" i="1"/>
  <c r="H255" i="1"/>
  <c r="H256" i="1"/>
  <c r="H257" i="1"/>
  <c r="H258" i="1"/>
  <c r="I258" i="1" s="1"/>
  <c r="H259" i="1"/>
  <c r="H260" i="1"/>
  <c r="H261" i="1"/>
  <c r="H262" i="1"/>
  <c r="H263" i="1"/>
  <c r="I263" i="1" s="1"/>
  <c r="H264" i="1"/>
  <c r="H265" i="1"/>
  <c r="H266" i="1"/>
  <c r="I266" i="1" s="1"/>
  <c r="H267" i="1"/>
  <c r="H268" i="1"/>
  <c r="H269" i="1"/>
  <c r="H270" i="1"/>
  <c r="H271" i="1"/>
  <c r="H272" i="1"/>
  <c r="H273" i="1"/>
  <c r="H274" i="1"/>
  <c r="I274" i="1" s="1"/>
  <c r="H275" i="1"/>
  <c r="H276" i="1"/>
  <c r="H277" i="1"/>
  <c r="H278" i="1"/>
  <c r="H279" i="1"/>
  <c r="I279" i="1" s="1"/>
  <c r="H280" i="1"/>
  <c r="H281" i="1"/>
  <c r="H282" i="1"/>
  <c r="I282" i="1" s="1"/>
  <c r="H283" i="1"/>
  <c r="H284" i="1"/>
  <c r="H285" i="1"/>
  <c r="H286" i="1"/>
  <c r="H287" i="1"/>
  <c r="H288" i="1"/>
  <c r="H289" i="1"/>
  <c r="H290" i="1"/>
  <c r="I290" i="1" s="1"/>
  <c r="H291" i="1"/>
  <c r="H292" i="1"/>
  <c r="H293" i="1"/>
  <c r="H294" i="1"/>
  <c r="H295" i="1"/>
  <c r="I295" i="1" s="1"/>
  <c r="H296" i="1"/>
  <c r="H297" i="1"/>
  <c r="H298" i="1"/>
  <c r="H299" i="1"/>
  <c r="H300" i="1"/>
  <c r="H301" i="1"/>
  <c r="H302" i="1"/>
  <c r="H303" i="1"/>
  <c r="H304" i="1"/>
  <c r="H305" i="1"/>
  <c r="H306" i="1"/>
  <c r="I306" i="1" s="1"/>
  <c r="H307" i="1"/>
  <c r="H308" i="1"/>
  <c r="H309" i="1"/>
  <c r="H310" i="1"/>
  <c r="H311" i="1"/>
  <c r="H312" i="1"/>
  <c r="H313" i="1"/>
  <c r="H314" i="1"/>
  <c r="H315" i="1"/>
  <c r="H316" i="1"/>
  <c r="H317" i="1"/>
  <c r="H318" i="1"/>
  <c r="H319" i="1"/>
  <c r="H320" i="1"/>
  <c r="H321" i="1"/>
  <c r="H322" i="1"/>
  <c r="I322" i="1" s="1"/>
  <c r="H323" i="1"/>
  <c r="H324" i="1"/>
  <c r="H325" i="1"/>
  <c r="H326" i="1"/>
  <c r="H327" i="1"/>
  <c r="H328" i="1"/>
  <c r="H329" i="1"/>
  <c r="H330" i="1"/>
  <c r="H331" i="1"/>
  <c r="H332" i="1"/>
  <c r="H333" i="1"/>
  <c r="H334" i="1"/>
  <c r="H335" i="1"/>
  <c r="H336" i="1"/>
  <c r="H337" i="1"/>
  <c r="H338" i="1"/>
  <c r="I338" i="1" s="1"/>
  <c r="H339" i="1"/>
  <c r="H340" i="1"/>
  <c r="H341" i="1"/>
  <c r="H342" i="1"/>
  <c r="H343" i="1"/>
  <c r="H344" i="1"/>
  <c r="H345" i="1"/>
  <c r="H346" i="1"/>
  <c r="H347" i="1"/>
  <c r="H348" i="1"/>
  <c r="H349" i="1"/>
  <c r="H350" i="1"/>
  <c r="H351" i="1"/>
  <c r="H352" i="1"/>
  <c r="H353" i="1"/>
  <c r="H354" i="1"/>
  <c r="I354" i="1" s="1"/>
  <c r="H355" i="1"/>
  <c r="H356" i="1"/>
  <c r="H357" i="1"/>
  <c r="H358" i="1"/>
  <c r="H359" i="1"/>
  <c r="H360" i="1"/>
  <c r="H361" i="1"/>
  <c r="H362" i="1"/>
  <c r="I362" i="1" s="1"/>
  <c r="H363" i="1"/>
  <c r="H364" i="1"/>
  <c r="H365" i="1"/>
  <c r="H366" i="1"/>
  <c r="H367" i="1"/>
  <c r="H368" i="1"/>
  <c r="H369" i="1"/>
  <c r="H370" i="1"/>
  <c r="I370" i="1" s="1"/>
  <c r="H371" i="1"/>
  <c r="H372" i="1"/>
  <c r="H373" i="1"/>
  <c r="H374" i="1"/>
  <c r="H375" i="1"/>
  <c r="H376" i="1"/>
  <c r="H377" i="1"/>
  <c r="H378" i="1"/>
  <c r="I378" i="1" s="1"/>
  <c r="H379" i="1"/>
  <c r="H380" i="1"/>
  <c r="H381" i="1"/>
  <c r="H382" i="1"/>
  <c r="H383" i="1"/>
  <c r="H384" i="1"/>
  <c r="H385" i="1"/>
  <c r="H386" i="1"/>
  <c r="I386" i="1" s="1"/>
  <c r="H387" i="1"/>
  <c r="H388" i="1"/>
  <c r="H389" i="1"/>
  <c r="H390" i="1"/>
  <c r="H391" i="1"/>
  <c r="H392" i="1"/>
  <c r="H393" i="1"/>
  <c r="H394" i="1"/>
  <c r="I394" i="1" s="1"/>
  <c r="H395" i="1"/>
  <c r="H396" i="1"/>
  <c r="H397" i="1"/>
  <c r="H398" i="1"/>
  <c r="H399" i="1"/>
  <c r="H400" i="1"/>
  <c r="H401" i="1"/>
  <c r="H402" i="1"/>
  <c r="I402" i="1" s="1"/>
  <c r="H403" i="1"/>
  <c r="H404" i="1"/>
  <c r="H405" i="1"/>
  <c r="H406" i="1"/>
  <c r="H407" i="1"/>
  <c r="H408" i="1"/>
  <c r="H409" i="1"/>
  <c r="H410" i="1"/>
  <c r="I410" i="1" s="1"/>
  <c r="H411" i="1"/>
  <c r="H412" i="1"/>
  <c r="H413" i="1"/>
  <c r="H414" i="1"/>
  <c r="H415" i="1"/>
  <c r="H416" i="1"/>
  <c r="H417" i="1"/>
  <c r="H418" i="1"/>
  <c r="I418" i="1" s="1"/>
  <c r="H419" i="1"/>
  <c r="H420" i="1"/>
  <c r="H421" i="1"/>
  <c r="H422" i="1"/>
  <c r="H423" i="1"/>
  <c r="H424" i="1"/>
  <c r="H425" i="1"/>
  <c r="H426" i="1"/>
  <c r="I426" i="1" s="1"/>
  <c r="H427" i="1"/>
  <c r="H428" i="1"/>
  <c r="H429" i="1"/>
  <c r="H430" i="1"/>
  <c r="H431" i="1"/>
  <c r="H432" i="1"/>
  <c r="H433" i="1"/>
  <c r="H434" i="1"/>
  <c r="I434" i="1" s="1"/>
  <c r="H435" i="1"/>
  <c r="H436" i="1"/>
  <c r="H437" i="1"/>
  <c r="H438" i="1"/>
  <c r="H439" i="1"/>
  <c r="H440" i="1"/>
  <c r="H441" i="1"/>
  <c r="H442" i="1"/>
  <c r="I442" i="1" s="1"/>
  <c r="H443" i="1"/>
  <c r="H444" i="1"/>
  <c r="H445" i="1"/>
  <c r="H446" i="1"/>
  <c r="H447" i="1"/>
  <c r="H448" i="1"/>
  <c r="H449" i="1"/>
  <c r="H450" i="1"/>
  <c r="I450" i="1" s="1"/>
  <c r="H451" i="1"/>
  <c r="H452" i="1"/>
  <c r="H453" i="1"/>
  <c r="H454" i="1"/>
  <c r="H455" i="1"/>
  <c r="H456" i="1"/>
  <c r="H457" i="1"/>
  <c r="H458" i="1"/>
  <c r="I458" i="1" s="1"/>
  <c r="H459" i="1"/>
  <c r="H460" i="1"/>
  <c r="H461" i="1"/>
  <c r="H462" i="1"/>
  <c r="H463" i="1"/>
  <c r="H464" i="1"/>
  <c r="H465" i="1"/>
  <c r="H466" i="1"/>
  <c r="I466" i="1" s="1"/>
  <c r="H467" i="1"/>
  <c r="H468" i="1"/>
  <c r="H469" i="1"/>
  <c r="H470" i="1"/>
  <c r="H471" i="1"/>
  <c r="H472" i="1"/>
  <c r="H473" i="1"/>
  <c r="H474" i="1"/>
  <c r="I474" i="1" s="1"/>
  <c r="H475" i="1"/>
  <c r="H476" i="1"/>
  <c r="H477" i="1"/>
  <c r="H478" i="1"/>
  <c r="H479" i="1"/>
  <c r="H480" i="1"/>
  <c r="H481" i="1"/>
  <c r="H482" i="1"/>
  <c r="I482" i="1" s="1"/>
  <c r="H483" i="1"/>
  <c r="H484" i="1"/>
  <c r="H485" i="1"/>
  <c r="H486" i="1"/>
  <c r="H487" i="1"/>
  <c r="H488" i="1"/>
  <c r="H489" i="1"/>
  <c r="H490" i="1"/>
  <c r="I490" i="1" s="1"/>
  <c r="H491" i="1"/>
  <c r="H492" i="1"/>
  <c r="H493" i="1"/>
  <c r="H494" i="1"/>
  <c r="H495" i="1"/>
  <c r="H496" i="1"/>
  <c r="H497" i="1"/>
  <c r="H498" i="1"/>
  <c r="I498" i="1" s="1"/>
  <c r="H499" i="1"/>
  <c r="H500" i="1"/>
  <c r="H501" i="1"/>
  <c r="H502" i="1"/>
  <c r="H503" i="1"/>
  <c r="H504" i="1"/>
  <c r="H505" i="1"/>
  <c r="H506" i="1"/>
  <c r="I506" i="1" s="1"/>
  <c r="H507" i="1"/>
  <c r="H508" i="1"/>
  <c r="H509" i="1"/>
  <c r="H510" i="1"/>
  <c r="H511" i="1"/>
  <c r="H512" i="1"/>
  <c r="H513" i="1"/>
  <c r="H514" i="1"/>
  <c r="I514" i="1" s="1"/>
  <c r="H515" i="1"/>
  <c r="H516" i="1"/>
  <c r="H517" i="1"/>
  <c r="H518" i="1"/>
  <c r="H519" i="1"/>
  <c r="H520" i="1"/>
  <c r="H521" i="1"/>
  <c r="H522" i="1"/>
  <c r="I522" i="1" s="1"/>
  <c r="H523" i="1"/>
  <c r="H524" i="1"/>
  <c r="H525" i="1"/>
  <c r="H526" i="1"/>
  <c r="H527" i="1"/>
  <c r="H528" i="1"/>
  <c r="H529" i="1"/>
  <c r="H530" i="1"/>
  <c r="I530" i="1" s="1"/>
  <c r="H531" i="1"/>
  <c r="H532" i="1"/>
  <c r="H533" i="1"/>
  <c r="H534" i="1"/>
  <c r="H535" i="1"/>
  <c r="H536" i="1"/>
  <c r="H537" i="1"/>
  <c r="H538" i="1"/>
  <c r="I538" i="1" s="1"/>
  <c r="H539" i="1"/>
  <c r="H540" i="1"/>
  <c r="H541" i="1"/>
  <c r="H542" i="1"/>
  <c r="H543" i="1"/>
  <c r="H544" i="1"/>
  <c r="H545" i="1"/>
  <c r="H546" i="1"/>
  <c r="I546" i="1" s="1"/>
  <c r="H547" i="1"/>
  <c r="H548" i="1"/>
  <c r="H549" i="1"/>
  <c r="H550" i="1"/>
  <c r="H551" i="1"/>
  <c r="H552" i="1"/>
  <c r="H553" i="1"/>
  <c r="H554" i="1"/>
  <c r="H555" i="1"/>
  <c r="H556" i="1"/>
  <c r="H557" i="1"/>
  <c r="H558" i="1"/>
  <c r="H559" i="1"/>
  <c r="H560" i="1"/>
  <c r="H561" i="1"/>
  <c r="H562" i="1"/>
  <c r="I562" i="1" s="1"/>
  <c r="H563" i="1"/>
  <c r="H564" i="1"/>
  <c r="H565" i="1"/>
  <c r="H566" i="1"/>
  <c r="H567" i="1"/>
  <c r="H568" i="1"/>
  <c r="H569" i="1"/>
  <c r="H570" i="1"/>
  <c r="H571" i="1"/>
  <c r="H572" i="1"/>
  <c r="H573" i="1"/>
  <c r="H574" i="1"/>
  <c r="H575" i="1"/>
  <c r="H576" i="1"/>
  <c r="H577" i="1"/>
  <c r="H578" i="1"/>
  <c r="I578" i="1" s="1"/>
  <c r="H579" i="1"/>
  <c r="H580" i="1"/>
  <c r="H581" i="1"/>
  <c r="H582" i="1"/>
  <c r="H583" i="1"/>
  <c r="H584" i="1"/>
  <c r="H585" i="1"/>
  <c r="H586" i="1"/>
  <c r="H587" i="1"/>
  <c r="H588" i="1"/>
  <c r="H589" i="1"/>
  <c r="H590" i="1"/>
  <c r="H591" i="1"/>
  <c r="H592" i="1"/>
  <c r="H593" i="1"/>
  <c r="H594" i="1"/>
  <c r="I594" i="1" s="1"/>
  <c r="H595" i="1"/>
  <c r="H596" i="1"/>
  <c r="H597" i="1"/>
  <c r="H598" i="1"/>
  <c r="H599" i="1"/>
  <c r="H600" i="1"/>
  <c r="H601" i="1"/>
  <c r="H602" i="1"/>
  <c r="H603" i="1"/>
  <c r="H604" i="1"/>
  <c r="H605" i="1"/>
  <c r="H606" i="1"/>
  <c r="H607" i="1"/>
  <c r="H608" i="1"/>
  <c r="H609" i="1"/>
  <c r="H610" i="1"/>
  <c r="I610" i="1" s="1"/>
  <c r="H611" i="1"/>
  <c r="H612" i="1"/>
  <c r="H613" i="1"/>
  <c r="H614" i="1"/>
  <c r="H615" i="1"/>
  <c r="H616" i="1"/>
  <c r="H617" i="1"/>
  <c r="H618" i="1"/>
  <c r="H619" i="1"/>
  <c r="H620" i="1"/>
  <c r="H621" i="1"/>
  <c r="H622" i="1"/>
  <c r="H623" i="1"/>
  <c r="H624" i="1"/>
  <c r="H625" i="1"/>
  <c r="H626" i="1"/>
  <c r="I626" i="1" s="1"/>
  <c r="H627" i="1"/>
  <c r="H628" i="1"/>
  <c r="H629" i="1"/>
  <c r="H630" i="1"/>
  <c r="H631" i="1"/>
  <c r="H632" i="1"/>
  <c r="H633" i="1"/>
  <c r="H634" i="1"/>
  <c r="H635" i="1"/>
  <c r="H636" i="1"/>
  <c r="H637" i="1"/>
  <c r="H638" i="1"/>
  <c r="H639" i="1"/>
  <c r="H640" i="1"/>
  <c r="H641" i="1"/>
  <c r="H642" i="1"/>
  <c r="I642" i="1" s="1"/>
  <c r="H643" i="1"/>
  <c r="H644" i="1"/>
  <c r="H645" i="1"/>
  <c r="H646" i="1"/>
  <c r="H647" i="1"/>
  <c r="H648" i="1"/>
  <c r="H649" i="1"/>
  <c r="H650" i="1"/>
  <c r="I650" i="1" s="1"/>
  <c r="H651" i="1"/>
  <c r="H652" i="1"/>
  <c r="H653" i="1"/>
  <c r="H654" i="1"/>
  <c r="H655" i="1"/>
  <c r="H656" i="1"/>
  <c r="H657" i="1"/>
  <c r="H658" i="1"/>
  <c r="I658" i="1" s="1"/>
  <c r="H659" i="1"/>
  <c r="H660" i="1"/>
  <c r="H661" i="1"/>
  <c r="H662" i="1"/>
  <c r="H663" i="1"/>
  <c r="H664" i="1"/>
  <c r="H665" i="1"/>
  <c r="H666" i="1"/>
  <c r="I666" i="1" s="1"/>
  <c r="H667" i="1"/>
  <c r="H668" i="1"/>
  <c r="H669" i="1"/>
  <c r="H670" i="1"/>
  <c r="H671" i="1"/>
  <c r="H672" i="1"/>
  <c r="H673" i="1"/>
  <c r="H674" i="1"/>
  <c r="I674" i="1" s="1"/>
  <c r="H675" i="1"/>
  <c r="H676" i="1"/>
  <c r="H677" i="1"/>
  <c r="H678" i="1"/>
  <c r="H679" i="1"/>
  <c r="H680" i="1"/>
  <c r="H681" i="1"/>
  <c r="H682" i="1"/>
  <c r="I682" i="1" s="1"/>
  <c r="H683" i="1"/>
  <c r="H684" i="1"/>
  <c r="H685" i="1"/>
  <c r="H686" i="1"/>
  <c r="H687" i="1"/>
  <c r="H688" i="1"/>
  <c r="H689" i="1"/>
  <c r="H690" i="1"/>
  <c r="I690" i="1" s="1"/>
  <c r="H691" i="1"/>
  <c r="H692" i="1"/>
  <c r="H693" i="1"/>
  <c r="H694" i="1"/>
  <c r="H695" i="1"/>
  <c r="H696" i="1"/>
  <c r="H697" i="1"/>
  <c r="H698" i="1"/>
  <c r="I698" i="1" s="1"/>
  <c r="H699" i="1"/>
  <c r="H700" i="1"/>
  <c r="H701" i="1"/>
  <c r="H4" i="1"/>
  <c r="H3" i="1"/>
  <c r="H2" i="1"/>
  <c r="J42" i="1" l="1"/>
  <c r="J39" i="1"/>
  <c r="J23" i="1"/>
  <c r="J53" i="1"/>
  <c r="J37" i="1"/>
  <c r="J21" i="1"/>
  <c r="J5" i="1"/>
  <c r="J48" i="1"/>
  <c r="J32" i="1"/>
  <c r="J16" i="1"/>
  <c r="J41" i="1"/>
  <c r="J25" i="1"/>
  <c r="J9" i="1"/>
  <c r="J68" i="1"/>
  <c r="J214" i="1"/>
  <c r="J198" i="1"/>
  <c r="J166" i="1"/>
  <c r="I86" i="1"/>
  <c r="J86" i="1" s="1"/>
  <c r="J100" i="1"/>
  <c r="J51" i="1"/>
  <c r="J50" i="1"/>
  <c r="J34" i="1"/>
  <c r="J18" i="1"/>
  <c r="J49" i="1"/>
  <c r="J33" i="1"/>
  <c r="J17" i="1"/>
  <c r="I102" i="1"/>
  <c r="J102" i="1" s="1"/>
  <c r="I230" i="1"/>
  <c r="J230" i="1" s="1"/>
  <c r="J2" i="1"/>
  <c r="I118" i="1"/>
  <c r="J118" i="1" s="1"/>
  <c r="I246" i="1"/>
  <c r="J246" i="1" s="1"/>
  <c r="J3" i="1"/>
  <c r="I68" i="1"/>
  <c r="I134" i="1"/>
  <c r="J134" i="1" s="1"/>
  <c r="I262" i="1"/>
  <c r="J262" i="1" s="1"/>
  <c r="J101" i="1"/>
  <c r="I69" i="1"/>
  <c r="J69" i="1" s="1"/>
  <c r="I150" i="1"/>
  <c r="J150" i="1" s="1"/>
  <c r="J538" i="1"/>
  <c r="J522" i="1"/>
  <c r="J506" i="1"/>
  <c r="J490" i="1"/>
  <c r="J474" i="1"/>
  <c r="J458" i="1"/>
  <c r="J442" i="1"/>
  <c r="J426" i="1"/>
  <c r="J410" i="1"/>
  <c r="J394" i="1"/>
  <c r="J378" i="1"/>
  <c r="J362" i="1"/>
  <c r="J346" i="1"/>
  <c r="J282" i="1"/>
  <c r="J266" i="1"/>
  <c r="J250" i="1"/>
  <c r="J234" i="1"/>
  <c r="J218" i="1"/>
  <c r="J202" i="1"/>
  <c r="J138" i="1"/>
  <c r="J122" i="1"/>
  <c r="J106" i="1"/>
  <c r="J90" i="1"/>
  <c r="J74" i="1"/>
  <c r="J58" i="1"/>
  <c r="I154" i="1"/>
  <c r="J154" i="1" s="1"/>
  <c r="I298" i="1"/>
  <c r="J298" i="1" s="1"/>
  <c r="I554" i="1"/>
  <c r="J554" i="1" s="1"/>
  <c r="I74" i="1"/>
  <c r="I166" i="1"/>
  <c r="I314" i="1"/>
  <c r="J314" i="1" s="1"/>
  <c r="I570" i="1"/>
  <c r="J570" i="1" s="1"/>
  <c r="I100" i="1"/>
  <c r="J602" i="1"/>
  <c r="I84" i="1"/>
  <c r="J84" i="1" s="1"/>
  <c r="I170" i="1"/>
  <c r="J170" i="1" s="1"/>
  <c r="I330" i="1"/>
  <c r="J330" i="1" s="1"/>
  <c r="I586" i="1"/>
  <c r="J586" i="1" s="1"/>
  <c r="J19" i="1"/>
  <c r="J87" i="1"/>
  <c r="J71" i="1"/>
  <c r="J55" i="1"/>
  <c r="I85" i="1"/>
  <c r="J85" i="1" s="1"/>
  <c r="I182" i="1"/>
  <c r="J182" i="1" s="1"/>
  <c r="I346" i="1"/>
  <c r="I602" i="1"/>
  <c r="I532" i="1"/>
  <c r="J532" i="1" s="1"/>
  <c r="I663" i="1"/>
  <c r="J663" i="1" s="1"/>
  <c r="I583" i="1"/>
  <c r="J583" i="1" s="1"/>
  <c r="J70" i="1"/>
  <c r="J22" i="1"/>
  <c r="J6" i="1"/>
  <c r="I693" i="1"/>
  <c r="J693" i="1" s="1"/>
  <c r="I677" i="1"/>
  <c r="J677" i="1" s="1"/>
  <c r="I661" i="1"/>
  <c r="J661" i="1" s="1"/>
  <c r="I645" i="1"/>
  <c r="J645" i="1" s="1"/>
  <c r="I629" i="1"/>
  <c r="J629" i="1" s="1"/>
  <c r="I613" i="1"/>
  <c r="J613" i="1" s="1"/>
  <c r="I597" i="1"/>
  <c r="J597" i="1" s="1"/>
  <c r="I581" i="1"/>
  <c r="J581" i="1" s="1"/>
  <c r="I565" i="1"/>
  <c r="J565" i="1" s="1"/>
  <c r="I549" i="1"/>
  <c r="J549" i="1" s="1"/>
  <c r="I533" i="1"/>
  <c r="J533" i="1" s="1"/>
  <c r="I517" i="1"/>
  <c r="J517" i="1" s="1"/>
  <c r="I501" i="1"/>
  <c r="J501" i="1" s="1"/>
  <c r="I485" i="1"/>
  <c r="J485" i="1" s="1"/>
  <c r="I469" i="1"/>
  <c r="J469" i="1" s="1"/>
  <c r="I453" i="1"/>
  <c r="J453" i="1" s="1"/>
  <c r="I437" i="1"/>
  <c r="J437" i="1" s="1"/>
  <c r="J229" i="1"/>
  <c r="I634" i="1"/>
  <c r="J634" i="1" s="1"/>
  <c r="J514" i="1"/>
  <c r="J258" i="1"/>
  <c r="I436" i="1"/>
  <c r="J436" i="1" s="1"/>
  <c r="J420" i="1"/>
  <c r="I420" i="1"/>
  <c r="I404" i="1"/>
  <c r="J404" i="1" s="1"/>
  <c r="I388" i="1"/>
  <c r="J388" i="1" s="1"/>
  <c r="I372" i="1"/>
  <c r="J372" i="1" s="1"/>
  <c r="I356" i="1"/>
  <c r="J356" i="1" s="1"/>
  <c r="I340" i="1"/>
  <c r="J340" i="1" s="1"/>
  <c r="I324" i="1"/>
  <c r="J324" i="1" s="1"/>
  <c r="I308" i="1"/>
  <c r="J308" i="1" s="1"/>
  <c r="I292" i="1"/>
  <c r="J292" i="1" s="1"/>
  <c r="I276" i="1"/>
  <c r="J276" i="1" s="1"/>
  <c r="I260" i="1"/>
  <c r="J260" i="1" s="1"/>
  <c r="I244" i="1"/>
  <c r="J244" i="1" s="1"/>
  <c r="I228" i="1"/>
  <c r="J228" i="1" s="1"/>
  <c r="I212" i="1"/>
  <c r="J212" i="1" s="1"/>
  <c r="I196" i="1"/>
  <c r="J196" i="1" s="1"/>
  <c r="J498" i="1"/>
  <c r="J242" i="1"/>
  <c r="I691" i="1"/>
  <c r="J691" i="1" s="1"/>
  <c r="I675" i="1"/>
  <c r="J675" i="1" s="1"/>
  <c r="I659" i="1"/>
  <c r="J659" i="1" s="1"/>
  <c r="I643" i="1"/>
  <c r="J643" i="1" s="1"/>
  <c r="I627" i="1"/>
  <c r="J627" i="1" s="1"/>
  <c r="I611" i="1"/>
  <c r="J611" i="1" s="1"/>
  <c r="I595" i="1"/>
  <c r="J595" i="1" s="1"/>
  <c r="I579" i="1"/>
  <c r="J579" i="1" s="1"/>
  <c r="I563" i="1"/>
  <c r="J563" i="1" s="1"/>
  <c r="I547" i="1"/>
  <c r="J547" i="1" s="1"/>
  <c r="I531" i="1"/>
  <c r="J531" i="1" s="1"/>
  <c r="I515" i="1"/>
  <c r="J515" i="1" s="1"/>
  <c r="I499" i="1"/>
  <c r="J499" i="1" s="1"/>
  <c r="I483" i="1"/>
  <c r="J483" i="1" s="1"/>
  <c r="I467" i="1"/>
  <c r="J467" i="1" s="1"/>
  <c r="I451" i="1"/>
  <c r="J451" i="1" s="1"/>
  <c r="I435" i="1"/>
  <c r="J435" i="1" s="1"/>
  <c r="I419" i="1"/>
  <c r="J419" i="1" s="1"/>
  <c r="I403" i="1"/>
  <c r="J403" i="1" s="1"/>
  <c r="I387" i="1"/>
  <c r="J387" i="1" s="1"/>
  <c r="I371" i="1"/>
  <c r="J371" i="1" s="1"/>
  <c r="I355" i="1"/>
  <c r="J355" i="1" s="1"/>
  <c r="I339" i="1"/>
  <c r="J339" i="1" s="1"/>
  <c r="I323" i="1"/>
  <c r="J323" i="1" s="1"/>
  <c r="I307" i="1"/>
  <c r="J307" i="1" s="1"/>
  <c r="I291" i="1"/>
  <c r="J291" i="1" s="1"/>
  <c r="I275" i="1"/>
  <c r="J275" i="1" s="1"/>
  <c r="I259" i="1"/>
  <c r="J259" i="1" s="1"/>
  <c r="J243" i="1"/>
  <c r="I243" i="1"/>
  <c r="I227" i="1"/>
  <c r="J227" i="1" s="1"/>
  <c r="I211" i="1"/>
  <c r="J211" i="1" s="1"/>
  <c r="I195" i="1"/>
  <c r="J195" i="1" s="1"/>
  <c r="I179" i="1"/>
  <c r="J179" i="1" s="1"/>
  <c r="I163" i="1"/>
  <c r="J163" i="1" s="1"/>
  <c r="I147" i="1"/>
  <c r="J147" i="1" s="1"/>
  <c r="I131" i="1"/>
  <c r="J131" i="1" s="1"/>
  <c r="I115" i="1"/>
  <c r="J115" i="1" s="1"/>
  <c r="I99" i="1"/>
  <c r="J99" i="1" s="1"/>
  <c r="I83" i="1"/>
  <c r="J83" i="1" s="1"/>
  <c r="I67" i="1"/>
  <c r="J67" i="1" s="1"/>
  <c r="J482" i="1"/>
  <c r="J226" i="1"/>
  <c r="I580" i="1"/>
  <c r="J580" i="1" s="1"/>
  <c r="J466" i="1"/>
  <c r="J210" i="1"/>
  <c r="I692" i="1"/>
  <c r="J692" i="1" s="1"/>
  <c r="J596" i="1"/>
  <c r="I596" i="1"/>
  <c r="I673" i="1"/>
  <c r="J673" i="1" s="1"/>
  <c r="I625" i="1"/>
  <c r="J625" i="1" s="1"/>
  <c r="I593" i="1"/>
  <c r="J593" i="1" s="1"/>
  <c r="I561" i="1"/>
  <c r="J561" i="1" s="1"/>
  <c r="I545" i="1"/>
  <c r="J545" i="1" s="1"/>
  <c r="I529" i="1"/>
  <c r="J529" i="1"/>
  <c r="I513" i="1"/>
  <c r="J513" i="1" s="1"/>
  <c r="I497" i="1"/>
  <c r="J497" i="1" s="1"/>
  <c r="I481" i="1"/>
  <c r="J481" i="1" s="1"/>
  <c r="I465" i="1"/>
  <c r="J465" i="1" s="1"/>
  <c r="I449" i="1"/>
  <c r="J449" i="1" s="1"/>
  <c r="I433" i="1"/>
  <c r="J433" i="1" s="1"/>
  <c r="I417" i="1"/>
  <c r="J417" i="1"/>
  <c r="I401" i="1"/>
  <c r="J401" i="1"/>
  <c r="I385" i="1"/>
  <c r="J385" i="1" s="1"/>
  <c r="I369" i="1"/>
  <c r="J369" i="1" s="1"/>
  <c r="I353" i="1"/>
  <c r="J353" i="1" s="1"/>
  <c r="I337" i="1"/>
  <c r="J337" i="1" s="1"/>
  <c r="I321" i="1"/>
  <c r="J321" i="1" s="1"/>
  <c r="I305" i="1"/>
  <c r="J305" i="1" s="1"/>
  <c r="I289" i="1"/>
  <c r="J289" i="1" s="1"/>
  <c r="I273" i="1"/>
  <c r="J273" i="1" s="1"/>
  <c r="I257" i="1"/>
  <c r="J257" i="1"/>
  <c r="I241" i="1"/>
  <c r="J241" i="1" s="1"/>
  <c r="I225" i="1"/>
  <c r="J225" i="1" s="1"/>
  <c r="I209" i="1"/>
  <c r="J209" i="1" s="1"/>
  <c r="I193" i="1"/>
  <c r="J193" i="1" s="1"/>
  <c r="I177" i="1"/>
  <c r="J177" i="1" s="1"/>
  <c r="I161" i="1"/>
  <c r="J161" i="1"/>
  <c r="I145" i="1"/>
  <c r="J145" i="1" s="1"/>
  <c r="I129" i="1"/>
  <c r="J129" i="1"/>
  <c r="I113" i="1"/>
  <c r="J113" i="1" s="1"/>
  <c r="I97" i="1"/>
  <c r="J97" i="1" s="1"/>
  <c r="I81" i="1"/>
  <c r="J81" i="1"/>
  <c r="I65" i="1"/>
  <c r="J65" i="1" s="1"/>
  <c r="J450" i="1"/>
  <c r="J194" i="1"/>
  <c r="I484" i="1"/>
  <c r="J484" i="1" s="1"/>
  <c r="I641" i="1"/>
  <c r="J641" i="1" s="1"/>
  <c r="I672" i="1"/>
  <c r="J672" i="1" s="1"/>
  <c r="I640" i="1"/>
  <c r="J640" i="1" s="1"/>
  <c r="I608" i="1"/>
  <c r="J608" i="1" s="1"/>
  <c r="I560" i="1"/>
  <c r="J560" i="1" s="1"/>
  <c r="I544" i="1"/>
  <c r="J544" i="1" s="1"/>
  <c r="I528" i="1"/>
  <c r="J528" i="1" s="1"/>
  <c r="I512" i="1"/>
  <c r="J512" i="1" s="1"/>
  <c r="I496" i="1"/>
  <c r="J496" i="1" s="1"/>
  <c r="I480" i="1"/>
  <c r="J480" i="1" s="1"/>
  <c r="I448" i="1"/>
  <c r="J448" i="1" s="1"/>
  <c r="I416" i="1"/>
  <c r="J416" i="1" s="1"/>
  <c r="I384" i="1"/>
  <c r="J384" i="1" s="1"/>
  <c r="I368" i="1"/>
  <c r="J368" i="1" s="1"/>
  <c r="I352" i="1"/>
  <c r="J352" i="1"/>
  <c r="I336" i="1"/>
  <c r="J336" i="1"/>
  <c r="I320" i="1"/>
  <c r="J320" i="1" s="1"/>
  <c r="I304" i="1"/>
  <c r="J304" i="1"/>
  <c r="I288" i="1"/>
  <c r="J288" i="1" s="1"/>
  <c r="I272" i="1"/>
  <c r="J272" i="1" s="1"/>
  <c r="I256" i="1"/>
  <c r="J256" i="1" s="1"/>
  <c r="I240" i="1"/>
  <c r="J240" i="1" s="1"/>
  <c r="I224" i="1"/>
  <c r="J224" i="1" s="1"/>
  <c r="I208" i="1"/>
  <c r="J208" i="1" s="1"/>
  <c r="I192" i="1"/>
  <c r="J192" i="1" s="1"/>
  <c r="I176" i="1"/>
  <c r="J176" i="1" s="1"/>
  <c r="I160" i="1"/>
  <c r="J160" i="1" s="1"/>
  <c r="I144" i="1"/>
  <c r="J144" i="1" s="1"/>
  <c r="I128" i="1"/>
  <c r="J128" i="1"/>
  <c r="I112" i="1"/>
  <c r="J112" i="1" s="1"/>
  <c r="I96" i="1"/>
  <c r="J96" i="1"/>
  <c r="I80" i="1"/>
  <c r="J80" i="1" s="1"/>
  <c r="I64" i="1"/>
  <c r="J64" i="1" s="1"/>
  <c r="J690" i="1"/>
  <c r="J434" i="1"/>
  <c r="J178" i="1"/>
  <c r="I676" i="1"/>
  <c r="J676" i="1" s="1"/>
  <c r="I468" i="1"/>
  <c r="J468" i="1" s="1"/>
  <c r="I689" i="1"/>
  <c r="J689" i="1" s="1"/>
  <c r="I577" i="1"/>
  <c r="J577" i="1"/>
  <c r="I656" i="1"/>
  <c r="J656" i="1" s="1"/>
  <c r="I576" i="1"/>
  <c r="J576" i="1"/>
  <c r="I464" i="1"/>
  <c r="J464" i="1" s="1"/>
  <c r="I655" i="1"/>
  <c r="J655" i="1" s="1"/>
  <c r="I607" i="1"/>
  <c r="J607" i="1" s="1"/>
  <c r="I543" i="1"/>
  <c r="J543" i="1" s="1"/>
  <c r="I495" i="1"/>
  <c r="J495" i="1" s="1"/>
  <c r="I431" i="1"/>
  <c r="J431" i="1" s="1"/>
  <c r="I399" i="1"/>
  <c r="J399" i="1" s="1"/>
  <c r="I351" i="1"/>
  <c r="J351" i="1"/>
  <c r="I287" i="1"/>
  <c r="J287" i="1" s="1"/>
  <c r="I239" i="1"/>
  <c r="J239" i="1" s="1"/>
  <c r="I191" i="1"/>
  <c r="J191" i="1"/>
  <c r="I159" i="1"/>
  <c r="J159" i="1" s="1"/>
  <c r="I111" i="1"/>
  <c r="J111" i="1" s="1"/>
  <c r="I63" i="1"/>
  <c r="J63" i="1"/>
  <c r="J674" i="1"/>
  <c r="J418" i="1"/>
  <c r="I500" i="1"/>
  <c r="J500" i="1" s="1"/>
  <c r="I657" i="1"/>
  <c r="J657" i="1" s="1"/>
  <c r="I688" i="1"/>
  <c r="J688" i="1"/>
  <c r="I592" i="1"/>
  <c r="J592" i="1" s="1"/>
  <c r="I400" i="1"/>
  <c r="J400" i="1" s="1"/>
  <c r="I671" i="1"/>
  <c r="J671" i="1" s="1"/>
  <c r="I623" i="1"/>
  <c r="J623" i="1" s="1"/>
  <c r="I591" i="1"/>
  <c r="J591" i="1" s="1"/>
  <c r="I575" i="1"/>
  <c r="J575" i="1"/>
  <c r="I527" i="1"/>
  <c r="J527" i="1" s="1"/>
  <c r="I511" i="1"/>
  <c r="J511" i="1" s="1"/>
  <c r="I479" i="1"/>
  <c r="J479" i="1"/>
  <c r="I447" i="1"/>
  <c r="J447" i="1" s="1"/>
  <c r="I415" i="1"/>
  <c r="J415" i="1" s="1"/>
  <c r="I383" i="1"/>
  <c r="J383" i="1" s="1"/>
  <c r="I335" i="1"/>
  <c r="J335" i="1" s="1"/>
  <c r="I319" i="1"/>
  <c r="J319" i="1" s="1"/>
  <c r="I303" i="1"/>
  <c r="J303" i="1" s="1"/>
  <c r="I271" i="1"/>
  <c r="J271" i="1" s="1"/>
  <c r="I255" i="1"/>
  <c r="J255" i="1"/>
  <c r="I223" i="1"/>
  <c r="J223" i="1" s="1"/>
  <c r="I207" i="1"/>
  <c r="J207" i="1" s="1"/>
  <c r="I175" i="1"/>
  <c r="J175" i="1"/>
  <c r="I143" i="1"/>
  <c r="J143" i="1" s="1"/>
  <c r="I127" i="1"/>
  <c r="J127" i="1"/>
  <c r="I95" i="1"/>
  <c r="J95" i="1" s="1"/>
  <c r="I79" i="1"/>
  <c r="J79" i="1" s="1"/>
  <c r="J162" i="1"/>
  <c r="J4" i="1"/>
  <c r="I686" i="1"/>
  <c r="J686" i="1" s="1"/>
  <c r="I670" i="1"/>
  <c r="J670" i="1" s="1"/>
  <c r="I654" i="1"/>
  <c r="J654" i="1" s="1"/>
  <c r="I638" i="1"/>
  <c r="J638" i="1" s="1"/>
  <c r="I622" i="1"/>
  <c r="J622" i="1" s="1"/>
  <c r="I606" i="1"/>
  <c r="J606" i="1" s="1"/>
  <c r="I590" i="1"/>
  <c r="J590" i="1" s="1"/>
  <c r="I574" i="1"/>
  <c r="J574" i="1" s="1"/>
  <c r="I558" i="1"/>
  <c r="J558" i="1" s="1"/>
  <c r="I542" i="1"/>
  <c r="J542" i="1" s="1"/>
  <c r="I526" i="1"/>
  <c r="J526" i="1" s="1"/>
  <c r="I510" i="1"/>
  <c r="J510" i="1" s="1"/>
  <c r="I494" i="1"/>
  <c r="J494" i="1" s="1"/>
  <c r="I478" i="1"/>
  <c r="J478" i="1" s="1"/>
  <c r="I462" i="1"/>
  <c r="J462" i="1" s="1"/>
  <c r="I446" i="1"/>
  <c r="J446" i="1" s="1"/>
  <c r="I430" i="1"/>
  <c r="J430" i="1" s="1"/>
  <c r="I414" i="1"/>
  <c r="J414" i="1" s="1"/>
  <c r="I398" i="1"/>
  <c r="J398" i="1" s="1"/>
  <c r="I382" i="1"/>
  <c r="J382" i="1" s="1"/>
  <c r="I366" i="1"/>
  <c r="J366" i="1" s="1"/>
  <c r="I350" i="1"/>
  <c r="J350" i="1" s="1"/>
  <c r="I334" i="1"/>
  <c r="J334" i="1" s="1"/>
  <c r="I318" i="1"/>
  <c r="J318" i="1" s="1"/>
  <c r="I302" i="1"/>
  <c r="J302" i="1" s="1"/>
  <c r="I286" i="1"/>
  <c r="J286" i="1" s="1"/>
  <c r="I270" i="1"/>
  <c r="J270" i="1" s="1"/>
  <c r="I254" i="1"/>
  <c r="J254" i="1" s="1"/>
  <c r="I238" i="1"/>
  <c r="J238" i="1" s="1"/>
  <c r="I222" i="1"/>
  <c r="J222" i="1" s="1"/>
  <c r="I206" i="1"/>
  <c r="J206" i="1" s="1"/>
  <c r="I190" i="1"/>
  <c r="J190" i="1" s="1"/>
  <c r="I174" i="1"/>
  <c r="J174" i="1" s="1"/>
  <c r="I158" i="1"/>
  <c r="J158" i="1" s="1"/>
  <c r="I142" i="1"/>
  <c r="J142" i="1" s="1"/>
  <c r="I126" i="1"/>
  <c r="J126" i="1" s="1"/>
  <c r="I110" i="1"/>
  <c r="J110" i="1" s="1"/>
  <c r="I94" i="1"/>
  <c r="J94" i="1" s="1"/>
  <c r="I78" i="1"/>
  <c r="J78" i="1" s="1"/>
  <c r="I62" i="1"/>
  <c r="J62" i="1" s="1"/>
  <c r="J46" i="1"/>
  <c r="J30" i="1"/>
  <c r="J14" i="1"/>
  <c r="J658" i="1"/>
  <c r="J402" i="1"/>
  <c r="J146" i="1"/>
  <c r="I612" i="1"/>
  <c r="J612" i="1" s="1"/>
  <c r="I609" i="1"/>
  <c r="J609" i="1" s="1"/>
  <c r="I624" i="1"/>
  <c r="J624" i="1" s="1"/>
  <c r="I432" i="1"/>
  <c r="J432" i="1"/>
  <c r="I687" i="1"/>
  <c r="J687" i="1"/>
  <c r="I639" i="1"/>
  <c r="J639" i="1" s="1"/>
  <c r="I559" i="1"/>
  <c r="J559" i="1" s="1"/>
  <c r="I463" i="1"/>
  <c r="J463" i="1"/>
  <c r="I367" i="1"/>
  <c r="J367" i="1" s="1"/>
  <c r="I701" i="1"/>
  <c r="J701" i="1" s="1"/>
  <c r="I685" i="1"/>
  <c r="J685" i="1" s="1"/>
  <c r="I669" i="1"/>
  <c r="J669" i="1" s="1"/>
  <c r="I653" i="1"/>
  <c r="J653" i="1" s="1"/>
  <c r="I637" i="1"/>
  <c r="J637" i="1" s="1"/>
  <c r="I621" i="1"/>
  <c r="J621" i="1" s="1"/>
  <c r="I605" i="1"/>
  <c r="J605" i="1" s="1"/>
  <c r="I589" i="1"/>
  <c r="J589" i="1" s="1"/>
  <c r="I573" i="1"/>
  <c r="J573" i="1" s="1"/>
  <c r="J557" i="1"/>
  <c r="I557" i="1"/>
  <c r="I541" i="1"/>
  <c r="J541" i="1" s="1"/>
  <c r="I525" i="1"/>
  <c r="J525" i="1" s="1"/>
  <c r="I509" i="1"/>
  <c r="J509" i="1" s="1"/>
  <c r="I493" i="1"/>
  <c r="J493" i="1" s="1"/>
  <c r="I477" i="1"/>
  <c r="J477" i="1" s="1"/>
  <c r="I461" i="1"/>
  <c r="J461" i="1" s="1"/>
  <c r="I445" i="1"/>
  <c r="J445" i="1" s="1"/>
  <c r="I429" i="1"/>
  <c r="J429" i="1" s="1"/>
  <c r="I413" i="1"/>
  <c r="J413" i="1" s="1"/>
  <c r="I397" i="1"/>
  <c r="J397" i="1" s="1"/>
  <c r="I381" i="1"/>
  <c r="J381" i="1" s="1"/>
  <c r="I365" i="1"/>
  <c r="J365" i="1" s="1"/>
  <c r="I349" i="1"/>
  <c r="J349" i="1" s="1"/>
  <c r="J333" i="1"/>
  <c r="I333" i="1"/>
  <c r="I317" i="1"/>
  <c r="J317" i="1" s="1"/>
  <c r="I301" i="1"/>
  <c r="J301" i="1" s="1"/>
  <c r="I285" i="1"/>
  <c r="J285" i="1" s="1"/>
  <c r="I269" i="1"/>
  <c r="J269" i="1" s="1"/>
  <c r="I253" i="1"/>
  <c r="J253" i="1" s="1"/>
  <c r="I237" i="1"/>
  <c r="J237" i="1" s="1"/>
  <c r="I221" i="1"/>
  <c r="J221" i="1" s="1"/>
  <c r="I205" i="1"/>
  <c r="J205" i="1" s="1"/>
  <c r="I189" i="1"/>
  <c r="J189" i="1" s="1"/>
  <c r="I173" i="1"/>
  <c r="J173" i="1" s="1"/>
  <c r="I157" i="1"/>
  <c r="J157" i="1" s="1"/>
  <c r="I141" i="1"/>
  <c r="J141" i="1" s="1"/>
  <c r="I125" i="1"/>
  <c r="J125" i="1" s="1"/>
  <c r="J109" i="1"/>
  <c r="I109" i="1"/>
  <c r="I93" i="1"/>
  <c r="J93" i="1" s="1"/>
  <c r="I77" i="1"/>
  <c r="J77" i="1" s="1"/>
  <c r="I61" i="1"/>
  <c r="J61" i="1" s="1"/>
  <c r="J642" i="1"/>
  <c r="J386" i="1"/>
  <c r="J130" i="1"/>
  <c r="I660" i="1"/>
  <c r="J660" i="1" s="1"/>
  <c r="I700" i="1"/>
  <c r="J700" i="1" s="1"/>
  <c r="I684" i="1"/>
  <c r="J684" i="1" s="1"/>
  <c r="I668" i="1"/>
  <c r="J668" i="1" s="1"/>
  <c r="I652" i="1"/>
  <c r="J652" i="1" s="1"/>
  <c r="I636" i="1"/>
  <c r="J636" i="1" s="1"/>
  <c r="I620" i="1"/>
  <c r="J620" i="1" s="1"/>
  <c r="I604" i="1"/>
  <c r="J604" i="1" s="1"/>
  <c r="I588" i="1"/>
  <c r="J588" i="1" s="1"/>
  <c r="I572" i="1"/>
  <c r="J572" i="1" s="1"/>
  <c r="I556" i="1"/>
  <c r="J556" i="1" s="1"/>
  <c r="I540" i="1"/>
  <c r="J540" i="1" s="1"/>
  <c r="I524" i="1"/>
  <c r="J524" i="1" s="1"/>
  <c r="I508" i="1"/>
  <c r="J508" i="1" s="1"/>
  <c r="I492" i="1"/>
  <c r="J492" i="1" s="1"/>
  <c r="I476" i="1"/>
  <c r="J476" i="1" s="1"/>
  <c r="I460" i="1"/>
  <c r="J460" i="1" s="1"/>
  <c r="J444" i="1"/>
  <c r="I444" i="1"/>
  <c r="I428" i="1"/>
  <c r="J428" i="1" s="1"/>
  <c r="I412" i="1"/>
  <c r="J412" i="1" s="1"/>
  <c r="I396" i="1"/>
  <c r="J396" i="1" s="1"/>
  <c r="I380" i="1"/>
  <c r="J380" i="1" s="1"/>
  <c r="I364" i="1"/>
  <c r="J364" i="1" s="1"/>
  <c r="I348" i="1"/>
  <c r="J348" i="1" s="1"/>
  <c r="I332" i="1"/>
  <c r="J332" i="1" s="1"/>
  <c r="I316" i="1"/>
  <c r="J316" i="1" s="1"/>
  <c r="I300" i="1"/>
  <c r="J300" i="1" s="1"/>
  <c r="I284" i="1"/>
  <c r="J284" i="1" s="1"/>
  <c r="I268" i="1"/>
  <c r="J268" i="1" s="1"/>
  <c r="I252" i="1"/>
  <c r="J252" i="1" s="1"/>
  <c r="I236" i="1"/>
  <c r="J236" i="1" s="1"/>
  <c r="I220" i="1"/>
  <c r="J220" i="1" s="1"/>
  <c r="I204" i="1"/>
  <c r="J204" i="1" s="1"/>
  <c r="I188" i="1"/>
  <c r="J188" i="1" s="1"/>
  <c r="I172" i="1"/>
  <c r="J172" i="1" s="1"/>
  <c r="I156" i="1"/>
  <c r="J156" i="1" s="1"/>
  <c r="I140" i="1"/>
  <c r="J140" i="1" s="1"/>
  <c r="I124" i="1"/>
  <c r="J124" i="1" s="1"/>
  <c r="I108" i="1"/>
  <c r="J108" i="1" s="1"/>
  <c r="I92" i="1"/>
  <c r="J92" i="1" s="1"/>
  <c r="I76" i="1"/>
  <c r="J76" i="1" s="1"/>
  <c r="I60" i="1"/>
  <c r="J60" i="1" s="1"/>
  <c r="J626" i="1"/>
  <c r="J370" i="1"/>
  <c r="J114" i="1"/>
  <c r="I644" i="1"/>
  <c r="J644" i="1" s="1"/>
  <c r="I452" i="1"/>
  <c r="J452" i="1" s="1"/>
  <c r="J667" i="1"/>
  <c r="J187" i="1"/>
  <c r="J610" i="1"/>
  <c r="J354" i="1"/>
  <c r="J98" i="1"/>
  <c r="I628" i="1"/>
  <c r="J628" i="1" s="1"/>
  <c r="J650" i="1"/>
  <c r="J186" i="1"/>
  <c r="J10" i="1"/>
  <c r="J594" i="1"/>
  <c r="J338" i="1"/>
  <c r="J82" i="1"/>
  <c r="I564" i="1"/>
  <c r="J564" i="1" s="1"/>
  <c r="J666" i="1"/>
  <c r="I665" i="1"/>
  <c r="J665" i="1"/>
  <c r="I649" i="1"/>
  <c r="J649" i="1" s="1"/>
  <c r="I633" i="1"/>
  <c r="J633" i="1" s="1"/>
  <c r="I617" i="1"/>
  <c r="J617" i="1" s="1"/>
  <c r="I601" i="1"/>
  <c r="J601" i="1" s="1"/>
  <c r="I585" i="1"/>
  <c r="J585" i="1" s="1"/>
  <c r="I569" i="1"/>
  <c r="J569" i="1" s="1"/>
  <c r="I553" i="1"/>
  <c r="J553" i="1" s="1"/>
  <c r="I537" i="1"/>
  <c r="J537" i="1"/>
  <c r="I521" i="1"/>
  <c r="J521" i="1" s="1"/>
  <c r="I505" i="1"/>
  <c r="J505" i="1" s="1"/>
  <c r="I489" i="1"/>
  <c r="J489" i="1" s="1"/>
  <c r="I473" i="1"/>
  <c r="J473" i="1"/>
  <c r="I457" i="1"/>
  <c r="J457" i="1" s="1"/>
  <c r="I441" i="1"/>
  <c r="J441" i="1" s="1"/>
  <c r="I425" i="1"/>
  <c r="J425" i="1" s="1"/>
  <c r="I409" i="1"/>
  <c r="J409" i="1" s="1"/>
  <c r="I393" i="1"/>
  <c r="J393" i="1"/>
  <c r="I377" i="1"/>
  <c r="J377" i="1" s="1"/>
  <c r="I361" i="1"/>
  <c r="J361" i="1" s="1"/>
  <c r="I345" i="1"/>
  <c r="J345" i="1"/>
  <c r="I329" i="1"/>
  <c r="J329" i="1" s="1"/>
  <c r="I313" i="1"/>
  <c r="J313" i="1" s="1"/>
  <c r="I297" i="1"/>
  <c r="J297" i="1" s="1"/>
  <c r="I281" i="1"/>
  <c r="J281" i="1" s="1"/>
  <c r="I265" i="1"/>
  <c r="J265" i="1" s="1"/>
  <c r="I249" i="1"/>
  <c r="J249" i="1" s="1"/>
  <c r="I233" i="1"/>
  <c r="J233" i="1"/>
  <c r="I217" i="1"/>
  <c r="J217" i="1" s="1"/>
  <c r="I201" i="1"/>
  <c r="J201" i="1" s="1"/>
  <c r="I185" i="1"/>
  <c r="J185" i="1"/>
  <c r="I169" i="1"/>
  <c r="J169" i="1" s="1"/>
  <c r="I153" i="1"/>
  <c r="J153" i="1"/>
  <c r="I137" i="1"/>
  <c r="J137" i="1" s="1"/>
  <c r="I121" i="1"/>
  <c r="J121" i="1" s="1"/>
  <c r="I105" i="1"/>
  <c r="J105" i="1"/>
  <c r="I89" i="1"/>
  <c r="J89" i="1" s="1"/>
  <c r="I73" i="1"/>
  <c r="J73" i="1" s="1"/>
  <c r="J578" i="1"/>
  <c r="J322" i="1"/>
  <c r="J66" i="1"/>
  <c r="I516" i="1"/>
  <c r="J516" i="1" s="1"/>
  <c r="J698" i="1"/>
  <c r="I697" i="1"/>
  <c r="J697" i="1" s="1"/>
  <c r="I681" i="1"/>
  <c r="J681" i="1" s="1"/>
  <c r="I696" i="1"/>
  <c r="J696" i="1" s="1"/>
  <c r="I680" i="1"/>
  <c r="J680" i="1" s="1"/>
  <c r="I664" i="1"/>
  <c r="J664" i="1" s="1"/>
  <c r="I648" i="1"/>
  <c r="J648" i="1" s="1"/>
  <c r="I632" i="1"/>
  <c r="J632" i="1" s="1"/>
  <c r="I616" i="1"/>
  <c r="J616" i="1" s="1"/>
  <c r="I600" i="1"/>
  <c r="J600" i="1" s="1"/>
  <c r="I584" i="1"/>
  <c r="J584" i="1" s="1"/>
  <c r="I568" i="1"/>
  <c r="J568" i="1" s="1"/>
  <c r="I552" i="1"/>
  <c r="J552" i="1" s="1"/>
  <c r="I536" i="1"/>
  <c r="J536" i="1" s="1"/>
  <c r="I520" i="1"/>
  <c r="J520" i="1"/>
  <c r="I504" i="1"/>
  <c r="J504" i="1" s="1"/>
  <c r="I488" i="1"/>
  <c r="J488" i="1" s="1"/>
  <c r="I472" i="1"/>
  <c r="J472" i="1" s="1"/>
  <c r="I456" i="1"/>
  <c r="J456" i="1" s="1"/>
  <c r="I440" i="1"/>
  <c r="J440" i="1" s="1"/>
  <c r="I424" i="1"/>
  <c r="J424" i="1" s="1"/>
  <c r="I408" i="1"/>
  <c r="J408" i="1"/>
  <c r="I392" i="1"/>
  <c r="J392" i="1"/>
  <c r="I376" i="1"/>
  <c r="J376" i="1" s="1"/>
  <c r="I360" i="1"/>
  <c r="J360" i="1" s="1"/>
  <c r="I344" i="1"/>
  <c r="J344" i="1" s="1"/>
  <c r="I328" i="1"/>
  <c r="J328" i="1" s="1"/>
  <c r="I312" i="1"/>
  <c r="J312" i="1" s="1"/>
  <c r="I296" i="1"/>
  <c r="J296" i="1" s="1"/>
  <c r="I280" i="1"/>
  <c r="J280" i="1"/>
  <c r="I264" i="1"/>
  <c r="J264" i="1" s="1"/>
  <c r="I248" i="1"/>
  <c r="J248" i="1" s="1"/>
  <c r="I232" i="1"/>
  <c r="J232" i="1" s="1"/>
  <c r="I216" i="1"/>
  <c r="J216" i="1" s="1"/>
  <c r="I200" i="1"/>
  <c r="J200" i="1"/>
  <c r="I184" i="1"/>
  <c r="J184" i="1" s="1"/>
  <c r="I168" i="1"/>
  <c r="J168" i="1"/>
  <c r="I152" i="1"/>
  <c r="J152" i="1" s="1"/>
  <c r="I136" i="1"/>
  <c r="J136" i="1"/>
  <c r="I120" i="1"/>
  <c r="J120" i="1" s="1"/>
  <c r="I104" i="1"/>
  <c r="J104" i="1" s="1"/>
  <c r="I88" i="1"/>
  <c r="J88" i="1" s="1"/>
  <c r="I72" i="1"/>
  <c r="J72" i="1" s="1"/>
  <c r="I56" i="1"/>
  <c r="J56" i="1" s="1"/>
  <c r="J562" i="1"/>
  <c r="J306" i="1"/>
  <c r="I548" i="1"/>
  <c r="J548" i="1" s="1"/>
  <c r="J682" i="1"/>
  <c r="I695" i="1"/>
  <c r="J695" i="1"/>
  <c r="I679" i="1"/>
  <c r="J679" i="1" s="1"/>
  <c r="I647" i="1"/>
  <c r="J647" i="1" s="1"/>
  <c r="I631" i="1"/>
  <c r="J631" i="1"/>
  <c r="I615" i="1"/>
  <c r="J615" i="1" s="1"/>
  <c r="I599" i="1"/>
  <c r="J599" i="1"/>
  <c r="I567" i="1"/>
  <c r="J567" i="1" s="1"/>
  <c r="I551" i="1"/>
  <c r="J551" i="1" s="1"/>
  <c r="I535" i="1"/>
  <c r="J535" i="1" s="1"/>
  <c r="I519" i="1"/>
  <c r="J519" i="1" s="1"/>
  <c r="I503" i="1"/>
  <c r="J503" i="1" s="1"/>
  <c r="I487" i="1"/>
  <c r="J487" i="1" s="1"/>
  <c r="I471" i="1"/>
  <c r="J471" i="1" s="1"/>
  <c r="I455" i="1"/>
  <c r="J455" i="1"/>
  <c r="I439" i="1"/>
  <c r="J439" i="1" s="1"/>
  <c r="I423" i="1"/>
  <c r="J423" i="1" s="1"/>
  <c r="I407" i="1"/>
  <c r="J407" i="1"/>
  <c r="I391" i="1"/>
  <c r="J391" i="1" s="1"/>
  <c r="I375" i="1"/>
  <c r="J375" i="1" s="1"/>
  <c r="I359" i="1"/>
  <c r="J359" i="1" s="1"/>
  <c r="I343" i="1"/>
  <c r="J343" i="1" s="1"/>
  <c r="I327" i="1"/>
  <c r="J327" i="1" s="1"/>
  <c r="I311" i="1"/>
  <c r="J311" i="1" s="1"/>
  <c r="I231" i="1"/>
  <c r="J231" i="1" s="1"/>
  <c r="J7" i="1"/>
  <c r="J546" i="1"/>
  <c r="J290" i="1"/>
  <c r="I618" i="1"/>
  <c r="J618" i="1" s="1"/>
  <c r="J530" i="1"/>
  <c r="J274" i="1"/>
  <c r="I59" i="1"/>
  <c r="J59" i="1" s="1"/>
  <c r="I75" i="1"/>
  <c r="J75" i="1" s="1"/>
  <c r="I91" i="1"/>
  <c r="J91" i="1" s="1"/>
  <c r="I107" i="1"/>
  <c r="J107" i="1" s="1"/>
  <c r="I123" i="1"/>
  <c r="J123" i="1" s="1"/>
  <c r="I139" i="1"/>
  <c r="J139" i="1" s="1"/>
  <c r="I155" i="1"/>
  <c r="J155" i="1" s="1"/>
  <c r="I171" i="1"/>
  <c r="J171" i="1" s="1"/>
  <c r="I187" i="1"/>
  <c r="I203" i="1"/>
  <c r="J203" i="1" s="1"/>
  <c r="I219" i="1"/>
  <c r="J219" i="1" s="1"/>
  <c r="I235" i="1"/>
  <c r="J235" i="1" s="1"/>
  <c r="I251" i="1"/>
  <c r="J251" i="1" s="1"/>
  <c r="I267" i="1"/>
  <c r="J267" i="1" s="1"/>
  <c r="I283" i="1"/>
  <c r="J283" i="1" s="1"/>
  <c r="I299" i="1"/>
  <c r="J299" i="1" s="1"/>
  <c r="I315" i="1"/>
  <c r="J315" i="1" s="1"/>
  <c r="I331" i="1"/>
  <c r="J331" i="1" s="1"/>
  <c r="I347" i="1"/>
  <c r="J347" i="1" s="1"/>
  <c r="I363" i="1"/>
  <c r="J363" i="1" s="1"/>
  <c r="I379" i="1"/>
  <c r="J379" i="1" s="1"/>
  <c r="I395" i="1"/>
  <c r="J395" i="1" s="1"/>
  <c r="I411" i="1"/>
  <c r="J411" i="1" s="1"/>
  <c r="I427" i="1"/>
  <c r="J427" i="1" s="1"/>
  <c r="I443" i="1"/>
  <c r="J443" i="1" s="1"/>
  <c r="I459" i="1"/>
  <c r="J459" i="1" s="1"/>
  <c r="I475" i="1"/>
  <c r="J475" i="1" s="1"/>
  <c r="I491" i="1"/>
  <c r="J491" i="1" s="1"/>
  <c r="I507" i="1"/>
  <c r="J507" i="1" s="1"/>
  <c r="I523" i="1"/>
  <c r="J523" i="1" s="1"/>
  <c r="I539" i="1"/>
  <c r="J539" i="1" s="1"/>
  <c r="I555" i="1"/>
  <c r="J555" i="1" s="1"/>
  <c r="I571" i="1"/>
  <c r="J571" i="1" s="1"/>
  <c r="I587" i="1"/>
  <c r="J587" i="1" s="1"/>
  <c r="I603" i="1"/>
  <c r="J603" i="1" s="1"/>
  <c r="I619" i="1"/>
  <c r="J619" i="1" s="1"/>
  <c r="I635" i="1"/>
  <c r="J635" i="1" s="1"/>
  <c r="I651" i="1"/>
  <c r="J651" i="1" s="1"/>
  <c r="I667" i="1"/>
  <c r="I683" i="1"/>
  <c r="J683" i="1" s="1"/>
  <c r="I699" i="1"/>
  <c r="J699" i="1" s="1"/>
  <c r="J57" i="1"/>
  <c r="I116" i="1"/>
  <c r="J116" i="1" s="1"/>
  <c r="I132" i="1"/>
  <c r="J132" i="1" s="1"/>
  <c r="I148" i="1"/>
  <c r="J148" i="1" s="1"/>
  <c r="I164" i="1"/>
  <c r="J164" i="1" s="1"/>
  <c r="I180" i="1"/>
  <c r="J180" i="1" s="1"/>
  <c r="I117" i="1"/>
  <c r="J117" i="1" s="1"/>
  <c r="I133" i="1"/>
  <c r="J133" i="1" s="1"/>
  <c r="I149" i="1"/>
  <c r="J149" i="1" s="1"/>
  <c r="I165" i="1"/>
  <c r="J165" i="1" s="1"/>
  <c r="I181" i="1"/>
  <c r="J181" i="1" s="1"/>
  <c r="I197" i="1"/>
  <c r="J197" i="1" s="1"/>
  <c r="I213" i="1"/>
  <c r="J213" i="1" s="1"/>
  <c r="I229" i="1"/>
  <c r="I245" i="1"/>
  <c r="J245" i="1" s="1"/>
  <c r="I261" i="1"/>
  <c r="J261" i="1" s="1"/>
  <c r="I277" i="1"/>
  <c r="J277" i="1" s="1"/>
  <c r="I293" i="1"/>
  <c r="J293" i="1" s="1"/>
  <c r="I309" i="1"/>
  <c r="J309" i="1" s="1"/>
  <c r="I325" i="1"/>
  <c r="J325" i="1" s="1"/>
  <c r="I341" i="1"/>
  <c r="J341" i="1" s="1"/>
  <c r="I357" i="1"/>
  <c r="J357" i="1" s="1"/>
  <c r="I373" i="1"/>
  <c r="J373" i="1" s="1"/>
  <c r="I389" i="1"/>
  <c r="J389" i="1" s="1"/>
  <c r="I405" i="1"/>
  <c r="J405" i="1" s="1"/>
  <c r="I421" i="1"/>
  <c r="J421" i="1" s="1"/>
  <c r="J295" i="1"/>
  <c r="J279" i="1"/>
  <c r="J263" i="1"/>
  <c r="J247" i="1"/>
  <c r="J215" i="1"/>
  <c r="J199" i="1"/>
  <c r="J183" i="1"/>
  <c r="J167" i="1"/>
  <c r="J151" i="1"/>
  <c r="J135" i="1"/>
  <c r="J119" i="1"/>
  <c r="J103" i="1"/>
  <c r="I278" i="1"/>
  <c r="J278" i="1" s="1"/>
  <c r="I294" i="1"/>
  <c r="J294" i="1" s="1"/>
  <c r="I310" i="1"/>
  <c r="J310" i="1" s="1"/>
  <c r="I326" i="1"/>
  <c r="J326" i="1" s="1"/>
  <c r="I342" i="1"/>
  <c r="J342" i="1" s="1"/>
  <c r="I358" i="1"/>
  <c r="J358" i="1" s="1"/>
  <c r="I374" i="1"/>
  <c r="J374" i="1" s="1"/>
  <c r="I390" i="1"/>
  <c r="J390" i="1" s="1"/>
  <c r="I406" i="1"/>
  <c r="J406" i="1" s="1"/>
  <c r="I422" i="1"/>
  <c r="J422" i="1" s="1"/>
  <c r="I438" i="1"/>
  <c r="J438" i="1" s="1"/>
  <c r="I454" i="1"/>
  <c r="J454" i="1" s="1"/>
  <c r="I470" i="1"/>
  <c r="J470" i="1" s="1"/>
  <c r="I486" i="1"/>
  <c r="J486" i="1" s="1"/>
  <c r="I502" i="1"/>
  <c r="J502" i="1" s="1"/>
  <c r="I518" i="1"/>
  <c r="J518" i="1" s="1"/>
  <c r="I534" i="1"/>
  <c r="J534" i="1" s="1"/>
  <c r="I550" i="1"/>
  <c r="J550" i="1" s="1"/>
  <c r="I566" i="1"/>
  <c r="J566" i="1" s="1"/>
  <c r="I582" i="1"/>
  <c r="J582" i="1" s="1"/>
  <c r="I598" i="1"/>
  <c r="J598" i="1" s="1"/>
  <c r="I614" i="1"/>
  <c r="J614" i="1" s="1"/>
  <c r="I630" i="1"/>
  <c r="J630" i="1" s="1"/>
  <c r="I646" i="1"/>
  <c r="J646" i="1" s="1"/>
  <c r="I662" i="1"/>
  <c r="J662" i="1" s="1"/>
  <c r="I678" i="1"/>
  <c r="J678" i="1" s="1"/>
  <c r="I694" i="1"/>
  <c r="J69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<sst xmlns="http://schemas.openxmlformats.org/spreadsheetml/2006/main" count="2848" uniqueCount="43">
  <si>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</si>
  <si>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</si>
  <si>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</si>
  <si>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</si>
  <si>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</si>
  <si>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</si>
  <si>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</si>
  <si>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</si>
  <si>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</si>
  <si>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</si>
  <si>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</si>
  <si>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</si>
  <si>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</si>
  <si>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</si>
  <si>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</si>
  <si>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</si>
  <si>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</si>
  <si>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</si>
  <si>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</si>
  <si>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</si>
  <si>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</si>
  <si>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</si>
  <si>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</si>
  <si>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</si>
  <si>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</si>
  <si>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</si>
  <si>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</si>
  <si>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</si>
  <si>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</si>
  <si>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</si>
  <si>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</si>
  <si>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</si>
  <si>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</si>
  <si>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</si>
  <si>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</si>
  <si>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</si>
  <si>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Sum of Units Sold</t>
  </si>
  <si>
    <t>Row Labels</t>
  </si>
  <si>
    <t>Grand Total</t>
  </si>
  <si>
    <t>Column Labels</t>
  </si>
  <si>
    <t>Sum of COGS</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</si>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</sst>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3" x14ac:knownFonts="1">
    <font>
      <sz val="11"/>
      <color theme="1"/>
      <name val="Calibri"/>
      <scheme val="minor"/>
    </font>
    <font>
      <sz val="11"/>
      <color theme="1"/>
      <name val="Calibri"/>
    </font>
    <font>
      <sz val="11"/>
      <color theme="1"/>
      <name val="Calibri"/>
    </font>
  </fonts>
  <fills count="5">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xf numFmtId="164" fontId="2" fillId="2" borderId="0" xfId="0" applyNumberFormat="1" applyFont="1" applyFill="1"/>
    <xf numFmtId="14" fontId="2" fillId="2" borderId="0" xfId="0" applyNumberFormat="1" applyFont="1" applyFill="1"/>
    <xf numFmtId="1" fontId="2" fillId="2" borderId="0" xfId="0" applyNumberFormat="1" applyFont="1" applyFill="1"/>
    <xf numFmtId="49" fontId="2" fillId="2" borderId="0" xfId="0" applyNumberFormat="1" applyFont="1" applyFill="1"/>
    <xf numFmtId="0" fontId="1" fillId="3" borderId="0" xfId="0" applyFont="1" applyFill="1"/>
    <xf numFmtId="164" fontId="2" fillId="3" borderId="0" xfId="0" applyNumberFormat="1" applyFont="1" applyFill="1"/>
    <xf numFmtId="14" fontId="2" fillId="3" borderId="0" xfId="0" applyNumberFormat="1" applyFont="1" applyFill="1"/>
    <xf numFmtId="1" fontId="2" fillId="3" borderId="0" xfId="0" applyNumberFormat="1" applyFont="1" applyFill="1"/>
    <xf numFmtId="49" fontId="2" fillId="3" borderId="0" xfId="0" applyNumberFormat="1" applyFont="1" applyFill="1"/>
    <xf numFmtId="0" fontId="1" fillId="4" borderId="0" xfId="0" applyFont="1" applyFill="1"/>
    <xf numFmtId="164" fontId="2" fillId="4" borderId="0" xfId="0" applyNumberFormat="1" applyFont="1" applyFill="1"/>
    <xf numFmtId="14" fontId="2" fillId="4" borderId="0" xfId="0" applyNumberFormat="1" applyFont="1" applyFill="1"/>
    <xf numFmtId="1" fontId="2" fillId="4" borderId="0" xfId="0" applyNumberFormat="1" applyFont="1" applyFill="1"/>
    <xf numFmtId="49" fontId="2" fillId="4" borderId="0" xfId="0" applyNumberFormat="1" applyFont="1" applyFill="1"/>
    <xf numFmtId="165" fontId="2" fillId="0" borderId="0" xfId="0" applyNumberFormat="1" applyFont="1"/>
    <xf numFmtId="164" fontId="2" fillId="0" borderId="0" xfId="0" applyNumberFormat="1" applyFont="1"/>
    <xf numFmtId="14" fontId="2" fillId="0" borderId="0" xfId="0" applyNumberFormat="1" applyFont="1"/>
    <xf numFmtId="1" fontId="2" fillId="0" borderId="0" xfId="0" applyNumberFormat="1" applyFont="1"/>
    <xf numFmtId="49" fontId="2" fillId="0" borderId="0" xfId="0" applyNumberFormat="1" applyFont="1"/>
    <xf numFmtId="164" fontId="0" fillId="0" borderId="0" xfId="0" applyNumberFormat="1"/>
    <xf numFmtId="0" fontId="0" fillId="0" borderId="0" xfId="0" applyNumberFormat="1"/>
    <xf numFmtId="0" fontId="0" fillId="0" borderId="0" xfId="0" pivotButton="1"/>
    <xf numFmtId="164" fontId="0" fillId="0" borderId="0" xfId="0" applyNumberForma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[Financial+Sample.xlsx]Manufacturing_Price!PivotTable1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Manufacturing_Price!$B$3</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dPt>
            <c:idx val="5"/>
            <c:bubble3D val="0"/>
            <c:spPr>
              <a:solidFill>
                <a:schemeClr val="accent6"/>
              </a:solidFill>
              <a:ln>
                <a:noFill/>
              </a:ln>
              <a:effectLst/>
              <a:sp3d/>
            </c:spPr>
          </c:dPt>
          <c:cat>
            <c:strRef>
              <c:f>Manufacturing_Price!$A$4:$A$10</c:f>
              <c:strCache>
                <c:ptCount val="6"/>
                <c:pt idx="0">
                  <c:v> $3.00 </c:v>
                </c:pt>
                <c:pt idx="1">
                  <c:v> $5.00 </c:v>
                </c:pt>
                <c:pt idx="2">
                  <c:v> $10.00 </c:v>
                </c:pt>
                <c:pt idx="3">
                  <c:v> $120.00 </c:v>
                </c:pt>
                <c:pt idx="4">
                  <c:v> $250.00 </c:v>
                </c:pt>
                <c:pt idx="5">
                  <c:v> $260.00 </c:v>
                </c:pt>
              </c:strCache>
            </c:strRef>
          </c:cat>
          <c:val>
            <c:numRef>
              <c:f>Manufacturing_Price!$B$4:$B$10</c:f>
              <c:numCache>
                <c:formatCode>_("$"* #,##0.00_);_("$"* \(#,##0.00\);_("$"* "-"??_);_(@_)</c:formatCode>
                <c:ptCount val="6"/>
                <c:pt idx="0">
                  <c:v>11988503</c:v>
                </c:pt>
                <c:pt idx="1">
                  <c:v>13276047</c:v>
                </c:pt>
                <c:pt idx="2">
                  <c:v>28213706</c:v>
                </c:pt>
                <c:pt idx="3">
                  <c:v>15944067</c:v>
                </c:pt>
                <c:pt idx="4">
                  <c:v>17477313</c:v>
                </c:pt>
                <c:pt idx="5">
                  <c:v>14933012</c:v>
                </c:pt>
              </c:numCache>
            </c:numRef>
          </c:val>
          <c:extLst>
            <c:ext xmlns:c16="http://schemas.microsoft.com/office/drawing/2014/chart" uri="{C3380CC4-5D6E-409C-BE32-E72D297353CC}">
              <c16:uniqueId val="{00000006-F1EB-41BC-9517-6107931EA16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[Financial+Sample.xlsx]Country-UnitsSold!PivotTable3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70907428706244"/>
          <c:y val="0.2572178477690289"/>
          <c:w val="0.66678484009723504"/>
          <c:h val="0.55681758530183723"/>
        </c:manualLayout>
      </c:layout>
      <c:bar3DChart>
        <c:barDir val="col"/>
        <c:grouping val="clustered"/>
        <c:varyColors val="0"/>
        <c:ser>
          <c:idx val="0"/>
          <c:order val="0"/>
          <c:tx>
            <c:strRef>
              <c:f>'Country-UnitsSold'!$B$3:$B$4</c:f>
              <c:strCache>
                <c:ptCount val="1"/>
                <c:pt idx="0">
                  <c:v>Amarilla</c:v>
                </c:pt>
              </c:strCache>
            </c:strRef>
          </c:tx>
          <c:spPr>
            <a:solidFill>
              <a:schemeClr val="accent1"/>
            </a:solidFill>
            <a:ln>
              <a:noFill/>
            </a:ln>
            <a:effectLst/>
            <a:sp3d/>
          </c:spPr>
          <c:invertIfNegative val="0"/>
          <c:cat>
            <c:strRef>
              <c:f>'Country-UnitsSold'!$A$5:$A$10</c:f>
              <c:strCache>
                <c:ptCount val="5"/>
                <c:pt idx="0">
                  <c:v>Canada</c:v>
                </c:pt>
                <c:pt idx="1">
                  <c:v>France</c:v>
                </c:pt>
                <c:pt idx="2">
                  <c:v>Germany</c:v>
                </c:pt>
                <c:pt idx="3">
                  <c:v>Mexico</c:v>
                </c:pt>
                <c:pt idx="4">
                  <c:v>United States of America</c:v>
                </c:pt>
              </c:strCache>
            </c:strRef>
          </c:cat>
          <c:val>
            <c:numRef>
              <c:f>'Country-UnitsSold'!$B$5:$B$10</c:f>
              <c:numCache>
                <c:formatCode>General</c:formatCode>
                <c:ptCount val="5"/>
                <c:pt idx="0">
                  <c:v>29232</c:v>
                </c:pt>
                <c:pt idx="1">
                  <c:v>31603</c:v>
                </c:pt>
                <c:pt idx="2">
                  <c:v>30614.5</c:v>
                </c:pt>
                <c:pt idx="3">
                  <c:v>28396</c:v>
                </c:pt>
                <c:pt idx="4">
                  <c:v>35469.5</c:v>
                </c:pt>
              </c:numCache>
            </c:numRef>
          </c:val>
          <c:extLst>
            <c:ext xmlns:c16="http://schemas.microsoft.com/office/drawing/2014/chart" uri="{C3380CC4-5D6E-409C-BE32-E72D297353CC}">
              <c16:uniqueId val="{00000000-4B5F-4F77-89DF-673865145EAA}"/>
            </c:ext>
          </c:extLst>
        </c:ser>
        <c:ser>
          <c:idx val="1"/>
          <c:order val="1"/>
          <c:tx>
            <c:strRef>
              <c:f>'Country-UnitsSold'!$C$3:$C$4</c:f>
              <c:strCache>
                <c:ptCount val="1"/>
                <c:pt idx="0">
                  <c:v>Carretera</c:v>
                </c:pt>
              </c:strCache>
            </c:strRef>
          </c:tx>
          <c:spPr>
            <a:solidFill>
              <a:schemeClr val="accent2"/>
            </a:solidFill>
            <a:ln>
              <a:noFill/>
            </a:ln>
            <a:effectLst/>
            <a:sp3d/>
          </c:spPr>
          <c:invertIfNegative val="0"/>
          <c:cat>
            <c:strRef>
              <c:f>'Country-UnitsSold'!$A$5:$A$10</c:f>
              <c:strCache>
                <c:ptCount val="5"/>
                <c:pt idx="0">
                  <c:v>Canada</c:v>
                </c:pt>
                <c:pt idx="1">
                  <c:v>France</c:v>
                </c:pt>
                <c:pt idx="2">
                  <c:v>Germany</c:v>
                </c:pt>
                <c:pt idx="3">
                  <c:v>Mexico</c:v>
                </c:pt>
                <c:pt idx="4">
                  <c:v>United States of America</c:v>
                </c:pt>
              </c:strCache>
            </c:strRef>
          </c:cat>
          <c:val>
            <c:numRef>
              <c:f>'Country-UnitsSold'!$C$5:$C$10</c:f>
              <c:numCache>
                <c:formatCode>General</c:formatCode>
                <c:ptCount val="5"/>
                <c:pt idx="0">
                  <c:v>34804</c:v>
                </c:pt>
                <c:pt idx="1">
                  <c:v>34056</c:v>
                </c:pt>
                <c:pt idx="2">
                  <c:v>24944</c:v>
                </c:pt>
                <c:pt idx="3">
                  <c:v>27224</c:v>
                </c:pt>
                <c:pt idx="4">
                  <c:v>25818</c:v>
                </c:pt>
              </c:numCache>
            </c:numRef>
          </c:val>
          <c:extLst>
            <c:ext xmlns:c16="http://schemas.microsoft.com/office/drawing/2014/chart" uri="{C3380CC4-5D6E-409C-BE32-E72D297353CC}">
              <c16:uniqueId val="{00000001-4B5F-4F77-89DF-673865145EAA}"/>
            </c:ext>
          </c:extLst>
        </c:ser>
        <c:ser>
          <c:idx val="2"/>
          <c:order val="2"/>
          <c:tx>
            <c:strRef>
              <c:f>'Country-UnitsSold'!$D$3:$D$4</c:f>
              <c:strCache>
                <c:ptCount val="1"/>
                <c:pt idx="0">
                  <c:v>Montana</c:v>
                </c:pt>
              </c:strCache>
            </c:strRef>
          </c:tx>
          <c:spPr>
            <a:solidFill>
              <a:schemeClr val="accent3"/>
            </a:solidFill>
            <a:ln>
              <a:noFill/>
            </a:ln>
            <a:effectLst/>
            <a:sp3d/>
          </c:spPr>
          <c:invertIfNegative val="0"/>
          <c:cat>
            <c:strRef>
              <c:f>'Country-UnitsSold'!$A$5:$A$10</c:f>
              <c:strCache>
                <c:ptCount val="5"/>
                <c:pt idx="0">
                  <c:v>Canada</c:v>
                </c:pt>
                <c:pt idx="1">
                  <c:v>France</c:v>
                </c:pt>
                <c:pt idx="2">
                  <c:v>Germany</c:v>
                </c:pt>
                <c:pt idx="3">
                  <c:v>Mexico</c:v>
                </c:pt>
                <c:pt idx="4">
                  <c:v>United States of America</c:v>
                </c:pt>
              </c:strCache>
            </c:strRef>
          </c:cat>
          <c:val>
            <c:numRef>
              <c:f>'Country-UnitsSold'!$D$5:$D$10</c:f>
              <c:numCache>
                <c:formatCode>General</c:formatCode>
                <c:ptCount val="5"/>
                <c:pt idx="0">
                  <c:v>31488.5</c:v>
                </c:pt>
                <c:pt idx="1">
                  <c:v>31282</c:v>
                </c:pt>
                <c:pt idx="2">
                  <c:v>28061</c:v>
                </c:pt>
                <c:pt idx="3">
                  <c:v>31754</c:v>
                </c:pt>
                <c:pt idx="4">
                  <c:v>31612.5</c:v>
                </c:pt>
              </c:numCache>
            </c:numRef>
          </c:val>
          <c:extLst>
            <c:ext xmlns:c16="http://schemas.microsoft.com/office/drawing/2014/chart" uri="{C3380CC4-5D6E-409C-BE32-E72D297353CC}">
              <c16:uniqueId val="{00000002-4B5F-4F77-89DF-673865145EAA}"/>
            </c:ext>
          </c:extLst>
        </c:ser>
        <c:ser>
          <c:idx val="3"/>
          <c:order val="3"/>
          <c:tx>
            <c:strRef>
              <c:f>'Country-UnitsSold'!$E$3:$E$4</c:f>
              <c:strCache>
                <c:ptCount val="1"/>
                <c:pt idx="0">
                  <c:v>Paseo</c:v>
                </c:pt>
              </c:strCache>
            </c:strRef>
          </c:tx>
          <c:spPr>
            <a:solidFill>
              <a:schemeClr val="accent4"/>
            </a:solidFill>
            <a:ln>
              <a:noFill/>
            </a:ln>
            <a:effectLst/>
            <a:sp3d/>
          </c:spPr>
          <c:invertIfNegative val="0"/>
          <c:cat>
            <c:strRef>
              <c:f>'Country-UnitsSold'!$A$5:$A$10</c:f>
              <c:strCache>
                <c:ptCount val="5"/>
                <c:pt idx="0">
                  <c:v>Canada</c:v>
                </c:pt>
                <c:pt idx="1">
                  <c:v>France</c:v>
                </c:pt>
                <c:pt idx="2">
                  <c:v>Germany</c:v>
                </c:pt>
                <c:pt idx="3">
                  <c:v>Mexico</c:v>
                </c:pt>
                <c:pt idx="4">
                  <c:v>United States of America</c:v>
                </c:pt>
              </c:strCache>
            </c:strRef>
          </c:cat>
          <c:val>
            <c:numRef>
              <c:f>'Country-UnitsSold'!$E$5:$E$10</c:f>
              <c:numCache>
                <c:formatCode>General</c:formatCode>
                <c:ptCount val="5"/>
                <c:pt idx="0">
                  <c:v>78191.5</c:v>
                </c:pt>
                <c:pt idx="1">
                  <c:v>71606</c:v>
                </c:pt>
                <c:pt idx="2">
                  <c:v>55693.5</c:v>
                </c:pt>
                <c:pt idx="3">
                  <c:v>63282</c:v>
                </c:pt>
                <c:pt idx="4">
                  <c:v>69466.5</c:v>
                </c:pt>
              </c:numCache>
            </c:numRef>
          </c:val>
          <c:extLst>
            <c:ext xmlns:c16="http://schemas.microsoft.com/office/drawing/2014/chart" uri="{C3380CC4-5D6E-409C-BE32-E72D297353CC}">
              <c16:uniqueId val="{00000003-4B5F-4F77-89DF-673865145EAA}"/>
            </c:ext>
          </c:extLst>
        </c:ser>
        <c:ser>
          <c:idx val="4"/>
          <c:order val="4"/>
          <c:tx>
            <c:strRef>
              <c:f>'Country-UnitsSold'!$F$3:$F$4</c:f>
              <c:strCache>
                <c:ptCount val="1"/>
                <c:pt idx="0">
                  <c:v>Velo</c:v>
                </c:pt>
              </c:strCache>
            </c:strRef>
          </c:tx>
          <c:spPr>
            <a:solidFill>
              <a:schemeClr val="accent5"/>
            </a:solidFill>
            <a:ln>
              <a:noFill/>
            </a:ln>
            <a:effectLst/>
            <a:sp3d/>
          </c:spPr>
          <c:invertIfNegative val="0"/>
          <c:cat>
            <c:strRef>
              <c:f>'Country-UnitsSold'!$A$5:$A$10</c:f>
              <c:strCache>
                <c:ptCount val="5"/>
                <c:pt idx="0">
                  <c:v>Canada</c:v>
                </c:pt>
                <c:pt idx="1">
                  <c:v>France</c:v>
                </c:pt>
                <c:pt idx="2">
                  <c:v>Germany</c:v>
                </c:pt>
                <c:pt idx="3">
                  <c:v>Mexico</c:v>
                </c:pt>
                <c:pt idx="4">
                  <c:v>United States of America</c:v>
                </c:pt>
              </c:strCache>
            </c:strRef>
          </c:cat>
          <c:val>
            <c:numRef>
              <c:f>'Country-UnitsSold'!$F$5:$F$10</c:f>
              <c:numCache>
                <c:formatCode>General</c:formatCode>
                <c:ptCount val="5"/>
                <c:pt idx="0">
                  <c:v>32464</c:v>
                </c:pt>
                <c:pt idx="1">
                  <c:v>36609.5</c:v>
                </c:pt>
                <c:pt idx="2">
                  <c:v>31050</c:v>
                </c:pt>
                <c:pt idx="3">
                  <c:v>26540</c:v>
                </c:pt>
                <c:pt idx="4">
                  <c:v>35761</c:v>
                </c:pt>
              </c:numCache>
            </c:numRef>
          </c:val>
          <c:extLst>
            <c:ext xmlns:c16="http://schemas.microsoft.com/office/drawing/2014/chart" uri="{C3380CC4-5D6E-409C-BE32-E72D297353CC}">
              <c16:uniqueId val="{00000004-4B5F-4F77-89DF-673865145EAA}"/>
            </c:ext>
          </c:extLst>
        </c:ser>
        <c:ser>
          <c:idx val="5"/>
          <c:order val="5"/>
          <c:tx>
            <c:strRef>
              <c:f>'Country-UnitsSold'!$G$3:$G$4</c:f>
              <c:strCache>
                <c:ptCount val="1"/>
                <c:pt idx="0">
                  <c:v>VTT</c:v>
                </c:pt>
              </c:strCache>
            </c:strRef>
          </c:tx>
          <c:spPr>
            <a:solidFill>
              <a:schemeClr val="accent6"/>
            </a:solidFill>
            <a:ln>
              <a:noFill/>
            </a:ln>
            <a:effectLst/>
            <a:sp3d/>
          </c:spPr>
          <c:invertIfNegative val="0"/>
          <c:cat>
            <c:strRef>
              <c:f>'Country-UnitsSold'!$A$5:$A$10</c:f>
              <c:strCache>
                <c:ptCount val="5"/>
                <c:pt idx="0">
                  <c:v>Canada</c:v>
                </c:pt>
                <c:pt idx="1">
                  <c:v>France</c:v>
                </c:pt>
                <c:pt idx="2">
                  <c:v>Germany</c:v>
                </c:pt>
                <c:pt idx="3">
                  <c:v>Mexico</c:v>
                </c:pt>
                <c:pt idx="4">
                  <c:v>United States of America</c:v>
                </c:pt>
              </c:strCache>
            </c:strRef>
          </c:cat>
          <c:val>
            <c:numRef>
              <c:f>'Country-UnitsSold'!$G$5:$G$10</c:f>
              <c:numCache>
                <c:formatCode>General</c:formatCode>
                <c:ptCount val="5"/>
                <c:pt idx="0">
                  <c:v>41248.5</c:v>
                </c:pt>
                <c:pt idx="1">
                  <c:v>35774.5</c:v>
                </c:pt>
                <c:pt idx="2">
                  <c:v>31131</c:v>
                </c:pt>
                <c:pt idx="3">
                  <c:v>26129</c:v>
                </c:pt>
                <c:pt idx="4">
                  <c:v>34500</c:v>
                </c:pt>
              </c:numCache>
            </c:numRef>
          </c:val>
          <c:extLst>
            <c:ext xmlns:c16="http://schemas.microsoft.com/office/drawing/2014/chart" uri="{C3380CC4-5D6E-409C-BE32-E72D297353CC}">
              <c16:uniqueId val="{00000005-4B5F-4F77-89DF-673865145EAA}"/>
            </c:ext>
          </c:extLst>
        </c:ser>
        <c:dLbls>
          <c:showLegendKey val="0"/>
          <c:showVal val="0"/>
          <c:showCatName val="0"/>
          <c:showSerName val="0"/>
          <c:showPercent val="0"/>
          <c:showBubbleSize val="0"/>
        </c:dLbls>
        <c:gapWidth val="219"/>
        <c:shape val="box"/>
        <c:axId val="1606858608"/>
        <c:axId val="1606859088"/>
        <c:axId val="0"/>
      </c:bar3DChart>
      <c:catAx>
        <c:axId val="160685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859088"/>
        <c:crosses val="autoZero"/>
        <c:auto val="1"/>
        <c:lblAlgn val="ctr"/>
        <c:lblOffset val="100"/>
        <c:noMultiLvlLbl val="0"/>
      </c:catAx>
      <c:valAx>
        <c:axId val="160685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85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[Financial+Sample.xlsx]Product-Sales-Profit!PivotTable4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'Product-Sales-Profit'!$B$3</c:f>
              <c:strCache>
                <c:ptCount val="1"/>
                <c:pt idx="0">
                  <c:v>Sum of  Sales</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cat>
            <c:strRef>
              <c:f>'Product-Sales-Profit'!$A$4:$A$10</c:f>
              <c:strCache>
                <c:ptCount val="6"/>
                <c:pt idx="0">
                  <c:v>Amarilla</c:v>
                </c:pt>
                <c:pt idx="1">
                  <c:v>Carretera</c:v>
                </c:pt>
                <c:pt idx="2">
                  <c:v>Montana</c:v>
                </c:pt>
                <c:pt idx="3">
                  <c:v>Paseo</c:v>
                </c:pt>
                <c:pt idx="4">
                  <c:v>Velo</c:v>
                </c:pt>
                <c:pt idx="5">
                  <c:v>VTT</c:v>
                </c:pt>
              </c:strCache>
            </c:strRef>
          </c:cat>
          <c:val>
            <c:numRef>
              <c:f>'Product-Sales-Profit'!$B$4:$B$10</c:f>
              <c:numCache>
                <c:formatCode>_("$"* #,##0.00_);_("$"* \(#,##0.00\);_("$"* "-"??_);_(@_)</c:formatCode>
                <c:ptCount val="6"/>
                <c:pt idx="0">
                  <c:v>17241495.5</c:v>
                </c:pt>
                <c:pt idx="1">
                  <c:v>13427878.524999999</c:v>
                </c:pt>
                <c:pt idx="2">
                  <c:v>14972323.75</c:v>
                </c:pt>
                <c:pt idx="3">
                  <c:v>32190299.5</c:v>
                </c:pt>
                <c:pt idx="4">
                  <c:v>17767917.175000001</c:v>
                </c:pt>
                <c:pt idx="5">
                  <c:v>19974186.675000004</c:v>
                </c:pt>
              </c:numCache>
            </c:numRef>
          </c:val>
          <c:extLst>
            <c:ext xmlns:c16="http://schemas.microsoft.com/office/drawing/2014/chart" uri="{C3380CC4-5D6E-409C-BE32-E72D297353CC}">
              <c16:uniqueId val="{0000006C-2728-408E-8EF4-2F061D18A988}"/>
            </c:ext>
          </c:extLst>
        </c:ser>
        <c:ser>
          <c:idx val="1"/>
          <c:order val="1"/>
          <c:tx>
            <c:strRef>
              <c:f>'Product-Sales-Profit'!$C$3</c:f>
              <c:strCache>
                <c:ptCount val="1"/>
                <c:pt idx="0">
                  <c:v>Sum of Profit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cat>
            <c:strRef>
              <c:f>'Product-Sales-Profit'!$A$4:$A$10</c:f>
              <c:strCache>
                <c:ptCount val="6"/>
                <c:pt idx="0">
                  <c:v>Amarilla</c:v>
                </c:pt>
                <c:pt idx="1">
                  <c:v>Carretera</c:v>
                </c:pt>
                <c:pt idx="2">
                  <c:v>Montana</c:v>
                </c:pt>
                <c:pt idx="3">
                  <c:v>Paseo</c:v>
                </c:pt>
                <c:pt idx="4">
                  <c:v>Velo</c:v>
                </c:pt>
                <c:pt idx="5">
                  <c:v>VTT</c:v>
                </c:pt>
              </c:strCache>
            </c:strRef>
          </c:cat>
          <c:val>
            <c:numRef>
              <c:f>'Product-Sales-Profit'!$C$4:$C$10</c:f>
              <c:numCache>
                <c:formatCode>_("$"* #,##0.00_);_("$"* \(#,##0.00\);_("$"* "-"??_);_(@_)</c:formatCode>
                <c:ptCount val="6"/>
                <c:pt idx="0">
                  <c:v>2308483.4999999995</c:v>
                </c:pt>
                <c:pt idx="1">
                  <c:v>1439375.5250000004</c:v>
                </c:pt>
                <c:pt idx="2">
                  <c:v>1696276.7500000005</c:v>
                </c:pt>
                <c:pt idx="3">
                  <c:v>3976593.5000000014</c:v>
                </c:pt>
                <c:pt idx="4">
                  <c:v>1823850.1750000003</c:v>
                </c:pt>
                <c:pt idx="5">
                  <c:v>2496873.6750000003</c:v>
                </c:pt>
              </c:numCache>
            </c:numRef>
          </c:val>
          <c:extLst>
            <c:ext xmlns:c16="http://schemas.microsoft.com/office/drawing/2014/chart" uri="{C3380CC4-5D6E-409C-BE32-E72D297353CC}">
              <c16:uniqueId val="{0000006D-2728-408E-8EF4-2F061D18A9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Pt>
            <c:idx val="47"/>
            <c:bubble3D val="0"/>
            <c:spPr>
              <a:solidFill>
                <a:schemeClr val="accent6">
                  <a:lumMod val="70000"/>
                </a:schemeClr>
              </a:solidFill>
              <a:ln>
                <a:noFill/>
              </a:ln>
              <a:effectLst/>
            </c:spPr>
          </c:dPt>
          <c:dPt>
            <c:idx val="48"/>
            <c:bubble3D val="0"/>
            <c:spPr>
              <a:solidFill>
                <a:schemeClr val="accent1">
                  <a:lumMod val="50000"/>
                  <a:lumOff val="50000"/>
                </a:schemeClr>
              </a:solidFill>
              <a:ln>
                <a:noFill/>
              </a:ln>
              <a:effectLst/>
            </c:spPr>
          </c:dPt>
          <c:dPt>
            <c:idx val="49"/>
            <c:bubble3D val="0"/>
            <c:spPr>
              <a:solidFill>
                <a:schemeClr val="accent2">
                  <a:lumMod val="50000"/>
                  <a:lumOff val="50000"/>
                </a:schemeClr>
              </a:solidFill>
              <a:ln>
                <a:noFill/>
              </a:ln>
              <a:effectLst/>
            </c:spPr>
          </c:dPt>
          <c:dPt>
            <c:idx val="50"/>
            <c:bubble3D val="0"/>
            <c:spPr>
              <a:solidFill>
                <a:schemeClr val="accent3">
                  <a:lumMod val="50000"/>
                  <a:lumOff val="50000"/>
                </a:schemeClr>
              </a:solidFill>
              <a:ln>
                <a:noFill/>
              </a:ln>
              <a:effectLst/>
            </c:spPr>
          </c:dPt>
          <c:dPt>
            <c:idx val="51"/>
            <c:bubble3D val="0"/>
            <c:spPr>
              <a:solidFill>
                <a:schemeClr val="accent4">
                  <a:lumMod val="50000"/>
                  <a:lumOff val="50000"/>
                </a:schemeClr>
              </a:solidFill>
              <a:ln>
                <a:noFill/>
              </a:ln>
              <a:effectLst/>
            </c:spPr>
          </c:dPt>
          <c:dPt>
            <c:idx val="52"/>
            <c:bubble3D val="0"/>
            <c:spPr>
              <a:solidFill>
                <a:schemeClr val="accent5">
                  <a:lumMod val="50000"/>
                  <a:lumOff val="50000"/>
                </a:schemeClr>
              </a:solidFill>
              <a:ln>
                <a:noFill/>
              </a:ln>
              <a:effectLst/>
            </c:spPr>
          </c:dPt>
          <c:dPt>
            <c:idx val="53"/>
            <c:bubble3D val="0"/>
            <c:spPr>
              <a:solidFill>
                <a:schemeClr val="accent6">
                  <a:lumMod val="50000"/>
                  <a:lumOff val="50000"/>
                </a:schemeClr>
              </a:solidFill>
              <a:ln>
                <a:noFill/>
              </a:ln>
              <a:effectLst/>
            </c:spPr>
          </c:dPt>
          <c:dPt>
            <c:idx val="54"/>
            <c:bubble3D val="0"/>
            <c:spPr>
              <a:solidFill>
                <a:schemeClr val="accent1"/>
              </a:solidFill>
              <a:ln>
                <a:noFill/>
              </a:ln>
              <a:effectLst/>
            </c:spPr>
          </c:dPt>
          <c:dPt>
            <c:idx val="55"/>
            <c:bubble3D val="0"/>
            <c:spPr>
              <a:solidFill>
                <a:schemeClr val="accent2"/>
              </a:solidFill>
              <a:ln>
                <a:noFill/>
              </a:ln>
              <a:effectLst/>
            </c:spPr>
          </c:dPt>
          <c:dPt>
            <c:idx val="56"/>
            <c:bubble3D val="0"/>
            <c:spPr>
              <a:solidFill>
                <a:schemeClr val="accent3"/>
              </a:solidFill>
              <a:ln>
                <a:noFill/>
              </a:ln>
              <a:effectLst/>
            </c:spPr>
          </c:dPt>
          <c:dPt>
            <c:idx val="57"/>
            <c:bubble3D val="0"/>
            <c:spPr>
              <a:solidFill>
                <a:schemeClr val="accent4"/>
              </a:solidFill>
              <a:ln>
                <a:noFill/>
              </a:ln>
              <a:effectLst/>
            </c:spPr>
          </c:dPt>
          <c:dPt>
            <c:idx val="58"/>
            <c:bubble3D val="0"/>
            <c:spPr>
              <a:solidFill>
                <a:schemeClr val="accent5"/>
              </a:solidFill>
              <a:ln>
                <a:noFill/>
              </a:ln>
              <a:effectLst/>
            </c:spPr>
          </c:dPt>
          <c:dPt>
            <c:idx val="59"/>
            <c:bubble3D val="0"/>
            <c:spPr>
              <a:solidFill>
                <a:schemeClr val="accent6"/>
              </a:solidFill>
              <a:ln>
                <a:noFill/>
              </a:ln>
              <a:effectLst/>
            </c:spPr>
          </c:dPt>
          <c:dPt>
            <c:idx val="60"/>
            <c:bubble3D val="0"/>
            <c:spPr>
              <a:solidFill>
                <a:schemeClr val="accent1">
                  <a:lumMod val="60000"/>
                </a:schemeClr>
              </a:solidFill>
              <a:ln>
                <a:noFill/>
              </a:ln>
              <a:effectLst/>
            </c:spPr>
          </c:dPt>
          <c:dPt>
            <c:idx val="61"/>
            <c:bubble3D val="0"/>
            <c:spPr>
              <a:solidFill>
                <a:schemeClr val="accent2">
                  <a:lumMod val="60000"/>
                </a:schemeClr>
              </a:solidFill>
              <a:ln>
                <a:noFill/>
              </a:ln>
              <a:effectLst/>
            </c:spPr>
          </c:dPt>
          <c:dPt>
            <c:idx val="62"/>
            <c:bubble3D val="0"/>
            <c:spPr>
              <a:solidFill>
                <a:schemeClr val="accent3">
                  <a:lumMod val="60000"/>
                </a:schemeClr>
              </a:solidFill>
              <a:ln>
                <a:noFill/>
              </a:ln>
              <a:effectLst/>
            </c:spPr>
          </c:dPt>
          <c:dPt>
            <c:idx val="63"/>
            <c:bubble3D val="0"/>
            <c:spPr>
              <a:solidFill>
                <a:schemeClr val="accent4">
                  <a:lumMod val="60000"/>
                </a:schemeClr>
              </a:solidFill>
              <a:ln>
                <a:noFill/>
              </a:ln>
              <a:effectLst/>
            </c:spPr>
          </c:dPt>
          <c:dPt>
            <c:idx val="64"/>
            <c:bubble3D val="0"/>
            <c:spPr>
              <a:solidFill>
                <a:schemeClr val="accent5">
                  <a:lumMod val="60000"/>
                </a:schemeClr>
              </a:solidFill>
              <a:ln>
                <a:noFill/>
              </a:ln>
              <a:effectLst/>
            </c:spPr>
          </c:dPt>
          <c:dPt>
            <c:idx val="65"/>
            <c:bubble3D val="0"/>
            <c:spPr>
              <a:solidFill>
                <a:schemeClr val="accent6">
                  <a:lumMod val="60000"/>
                </a:schemeClr>
              </a:solidFill>
              <a:ln>
                <a:noFill/>
              </a:ln>
              <a:effectLst/>
            </c:spPr>
          </c:dPt>
          <c:dPt>
            <c:idx val="66"/>
            <c:bubble3D val="0"/>
            <c:spPr>
              <a:solidFill>
                <a:schemeClr val="accent1">
                  <a:lumMod val="80000"/>
                  <a:lumOff val="20000"/>
                </a:schemeClr>
              </a:solidFill>
              <a:ln>
                <a:noFill/>
              </a:ln>
              <a:effectLst/>
            </c:spPr>
          </c:dPt>
          <c:dPt>
            <c:idx val="67"/>
            <c:bubble3D val="0"/>
            <c:spPr>
              <a:solidFill>
                <a:schemeClr val="accent2">
                  <a:lumMod val="80000"/>
                  <a:lumOff val="20000"/>
                </a:schemeClr>
              </a:solidFill>
              <a:ln>
                <a:noFill/>
              </a:ln>
              <a:effectLst/>
            </c:spPr>
          </c:dPt>
          <c:dPt>
            <c:idx val="68"/>
            <c:bubble3D val="0"/>
            <c:spPr>
              <a:solidFill>
                <a:schemeClr val="accent3">
                  <a:lumMod val="80000"/>
                  <a:lumOff val="20000"/>
                </a:schemeClr>
              </a:solidFill>
              <a:ln>
                <a:noFill/>
              </a:ln>
              <a:effectLst/>
            </c:spPr>
          </c:dPt>
          <c:dPt>
            <c:idx val="69"/>
            <c:bubble3D val="0"/>
            <c:spPr>
              <a:solidFill>
                <a:schemeClr val="accent4">
                  <a:lumMod val="80000"/>
                  <a:lumOff val="20000"/>
                </a:schemeClr>
              </a:solidFill>
              <a:ln>
                <a:noFill/>
              </a:ln>
              <a:effectLst/>
            </c:spPr>
          </c:dPt>
          <c:dPt>
            <c:idx val="70"/>
            <c:bubble3D val="0"/>
            <c:spPr>
              <a:solidFill>
                <a:schemeClr val="accent5">
                  <a:lumMod val="80000"/>
                  <a:lumOff val="20000"/>
                </a:schemeClr>
              </a:solidFill>
              <a:ln>
                <a:noFill/>
              </a:ln>
              <a:effectLst/>
            </c:spPr>
          </c:dPt>
          <c:dPt>
            <c:idx val="71"/>
            <c:bubble3D val="0"/>
            <c:spPr>
              <a:solidFill>
                <a:schemeClr val="accent6">
                  <a:lumMod val="80000"/>
                  <a:lumOff val="20000"/>
                </a:schemeClr>
              </a:solidFill>
              <a:ln>
                <a:noFill/>
              </a:ln>
              <a:effectLst/>
            </c:spPr>
          </c:dPt>
          <c:dPt>
            <c:idx val="72"/>
            <c:bubble3D val="0"/>
            <c:spPr>
              <a:solidFill>
                <a:schemeClr val="accent1">
                  <a:lumMod val="80000"/>
                </a:schemeClr>
              </a:solidFill>
              <a:ln>
                <a:noFill/>
              </a:ln>
              <a:effectLst/>
            </c:spPr>
          </c:dPt>
          <c:dPt>
            <c:idx val="73"/>
            <c:bubble3D val="0"/>
            <c:spPr>
              <a:solidFill>
                <a:schemeClr val="accent2">
                  <a:lumMod val="80000"/>
                </a:schemeClr>
              </a:solidFill>
              <a:ln>
                <a:noFill/>
              </a:ln>
              <a:effectLst/>
            </c:spPr>
          </c:dPt>
          <c:dPt>
            <c:idx val="74"/>
            <c:bubble3D val="0"/>
            <c:spPr>
              <a:solidFill>
                <a:schemeClr val="accent3">
                  <a:lumMod val="80000"/>
                </a:schemeClr>
              </a:solidFill>
              <a:ln>
                <a:noFill/>
              </a:ln>
              <a:effectLst/>
            </c:spPr>
          </c:dPt>
          <c:dPt>
            <c:idx val="75"/>
            <c:bubble3D val="0"/>
            <c:spPr>
              <a:solidFill>
                <a:schemeClr val="accent4">
                  <a:lumMod val="80000"/>
                </a:schemeClr>
              </a:solidFill>
              <a:ln>
                <a:noFill/>
              </a:ln>
              <a:effectLst/>
            </c:spPr>
          </c:dPt>
          <c:dPt>
            <c:idx val="76"/>
            <c:bubble3D val="0"/>
            <c:spPr>
              <a:solidFill>
                <a:schemeClr val="accent5">
                  <a:lumMod val="80000"/>
                </a:schemeClr>
              </a:solidFill>
              <a:ln>
                <a:noFill/>
              </a:ln>
              <a:effectLst/>
            </c:spPr>
          </c:dPt>
          <c:dPt>
            <c:idx val="77"/>
            <c:bubble3D val="0"/>
            <c:spPr>
              <a:solidFill>
                <a:schemeClr val="accent6">
                  <a:lumMod val="80000"/>
                </a:schemeClr>
              </a:solidFill>
              <a:ln>
                <a:noFill/>
              </a:ln>
              <a:effectLst/>
            </c:spPr>
          </c:dPt>
          <c:dPt>
            <c:idx val="78"/>
            <c:bubble3D val="0"/>
            <c:spPr>
              <a:solidFill>
                <a:schemeClr val="accent1">
                  <a:lumMod val="60000"/>
                  <a:lumOff val="40000"/>
                </a:schemeClr>
              </a:solidFill>
              <a:ln>
                <a:noFill/>
              </a:ln>
              <a:effectLst/>
            </c:spPr>
          </c:dPt>
          <c:dPt>
            <c:idx val="79"/>
            <c:bubble3D val="0"/>
            <c:spPr>
              <a:solidFill>
                <a:schemeClr val="accent2">
                  <a:lumMod val="60000"/>
                  <a:lumOff val="40000"/>
                </a:schemeClr>
              </a:solidFill>
              <a:ln>
                <a:noFill/>
              </a:ln>
              <a:effectLst/>
            </c:spPr>
          </c:dPt>
          <c:dPt>
            <c:idx val="80"/>
            <c:bubble3D val="0"/>
            <c:spPr>
              <a:solidFill>
                <a:schemeClr val="accent3">
                  <a:lumMod val="60000"/>
                  <a:lumOff val="40000"/>
                </a:schemeClr>
              </a:solidFill>
              <a:ln>
                <a:noFill/>
              </a:ln>
              <a:effectLst/>
            </c:spPr>
          </c:dPt>
          <c:dPt>
            <c:idx val="81"/>
            <c:bubble3D val="0"/>
            <c:spPr>
              <a:solidFill>
                <a:schemeClr val="accent4">
                  <a:lumMod val="60000"/>
                  <a:lumOff val="40000"/>
                </a:schemeClr>
              </a:solidFill>
              <a:ln>
                <a:noFill/>
              </a:ln>
              <a:effectLst/>
            </c:spPr>
          </c:dPt>
          <c:dPt>
            <c:idx val="82"/>
            <c:bubble3D val="0"/>
            <c:spPr>
              <a:solidFill>
                <a:schemeClr val="accent5">
                  <a:lumMod val="60000"/>
                  <a:lumOff val="40000"/>
                </a:schemeClr>
              </a:solidFill>
              <a:ln>
                <a:noFill/>
              </a:ln>
              <a:effectLst/>
            </c:spPr>
          </c:dPt>
          <c:dPt>
            <c:idx val="83"/>
            <c:bubble3D val="0"/>
            <c:spPr>
              <a:solidFill>
                <a:schemeClr val="accent6">
                  <a:lumMod val="60000"/>
                  <a:lumOff val="40000"/>
                </a:schemeClr>
              </a:solidFill>
              <a:ln>
                <a:noFill/>
              </a:ln>
              <a:effectLst/>
            </c:spPr>
          </c:dPt>
          <c:dPt>
            <c:idx val="84"/>
            <c:bubble3D val="0"/>
            <c:spPr>
              <a:solidFill>
                <a:schemeClr val="accent1">
                  <a:lumMod val="50000"/>
                </a:schemeClr>
              </a:solidFill>
              <a:ln>
                <a:noFill/>
              </a:ln>
              <a:effectLst/>
            </c:spPr>
          </c:dPt>
          <c:dPt>
            <c:idx val="85"/>
            <c:bubble3D val="0"/>
            <c:spPr>
              <a:solidFill>
                <a:schemeClr val="accent2">
                  <a:lumMod val="50000"/>
                </a:schemeClr>
              </a:solidFill>
              <a:ln>
                <a:noFill/>
              </a:ln>
              <a:effectLst/>
            </c:spPr>
          </c:dPt>
          <c:dPt>
            <c:idx val="86"/>
            <c:bubble3D val="0"/>
            <c:spPr>
              <a:solidFill>
                <a:schemeClr val="accent3">
                  <a:lumMod val="50000"/>
                </a:schemeClr>
              </a:solidFill>
              <a:ln>
                <a:noFill/>
              </a:ln>
              <a:effectLst/>
            </c:spPr>
          </c:dPt>
          <c:dPt>
            <c:idx val="87"/>
            <c:bubble3D val="0"/>
            <c:spPr>
              <a:solidFill>
                <a:schemeClr val="accent4">
                  <a:lumMod val="50000"/>
                </a:schemeClr>
              </a:solidFill>
              <a:ln>
                <a:noFill/>
              </a:ln>
              <a:effectLst/>
            </c:spPr>
          </c:dPt>
          <c:dPt>
            <c:idx val="88"/>
            <c:bubble3D val="0"/>
            <c:spPr>
              <a:solidFill>
                <a:schemeClr val="accent5">
                  <a:lumMod val="50000"/>
                </a:schemeClr>
              </a:solidFill>
              <a:ln>
                <a:noFill/>
              </a:ln>
              <a:effectLst/>
            </c:spPr>
          </c:dPt>
          <c:dPt>
            <c:idx val="89"/>
            <c:bubble3D val="0"/>
            <c:spPr>
              <a:solidFill>
                <a:schemeClr val="accent6">
                  <a:lumMod val="50000"/>
                </a:schemeClr>
              </a:solidFill>
              <a:ln>
                <a:noFill/>
              </a:ln>
              <a:effectLst/>
            </c:spPr>
          </c:dPt>
          <c:dPt>
            <c:idx val="90"/>
            <c:bubble3D val="0"/>
            <c:spPr>
              <a:solidFill>
                <a:schemeClr val="accent1">
                  <a:lumMod val="70000"/>
                  <a:lumOff val="30000"/>
                </a:schemeClr>
              </a:solidFill>
              <a:ln>
                <a:noFill/>
              </a:ln>
              <a:effectLst/>
            </c:spPr>
          </c:dPt>
          <c:dPt>
            <c:idx val="91"/>
            <c:bubble3D val="0"/>
            <c:spPr>
              <a:solidFill>
                <a:schemeClr val="accent2">
                  <a:lumMod val="70000"/>
                  <a:lumOff val="30000"/>
                </a:schemeClr>
              </a:solidFill>
              <a:ln>
                <a:noFill/>
              </a:ln>
              <a:effectLst/>
            </c:spPr>
          </c:dPt>
          <c:dPt>
            <c:idx val="92"/>
            <c:bubble3D val="0"/>
            <c:spPr>
              <a:solidFill>
                <a:schemeClr val="accent3">
                  <a:lumMod val="70000"/>
                  <a:lumOff val="30000"/>
                </a:schemeClr>
              </a:solidFill>
              <a:ln>
                <a:noFill/>
              </a:ln>
              <a:effectLst/>
            </c:spPr>
          </c:dPt>
          <c:dPt>
            <c:idx val="93"/>
            <c:bubble3D val="0"/>
            <c:spPr>
              <a:solidFill>
                <a:schemeClr val="accent4">
                  <a:lumMod val="70000"/>
                  <a:lumOff val="30000"/>
                </a:schemeClr>
              </a:solidFill>
              <a:ln>
                <a:noFill/>
              </a:ln>
              <a:effectLst/>
            </c:spPr>
          </c:dPt>
          <c:dPt>
            <c:idx val="94"/>
            <c:bubble3D val="0"/>
            <c:spPr>
              <a:solidFill>
                <a:schemeClr val="accent5">
                  <a:lumMod val="70000"/>
                  <a:lumOff val="30000"/>
                </a:schemeClr>
              </a:solidFill>
              <a:ln>
                <a:noFill/>
              </a:ln>
              <a:effectLst/>
            </c:spPr>
          </c:dPt>
          <c:dPt>
            <c:idx val="95"/>
            <c:bubble3D val="0"/>
            <c:spPr>
              <a:solidFill>
                <a:schemeClr val="accent6">
                  <a:lumMod val="70000"/>
                  <a:lumOff val="30000"/>
                </a:schemeClr>
              </a:solidFill>
              <a:ln>
                <a:noFill/>
              </a:ln>
              <a:effectLst/>
            </c:spPr>
          </c:dPt>
          <c:dPt>
            <c:idx val="96"/>
            <c:bubble3D val="0"/>
            <c:spPr>
              <a:solidFill>
                <a:schemeClr val="accent1">
                  <a:lumMod val="70000"/>
                </a:schemeClr>
              </a:solidFill>
              <a:ln>
                <a:noFill/>
              </a:ln>
              <a:effectLst/>
            </c:spPr>
          </c:dPt>
          <c:dPt>
            <c:idx val="97"/>
            <c:bubble3D val="0"/>
            <c:spPr>
              <a:solidFill>
                <a:schemeClr val="accent2">
                  <a:lumMod val="70000"/>
                </a:schemeClr>
              </a:solidFill>
              <a:ln>
                <a:noFill/>
              </a:ln>
              <a:effectLst/>
            </c:spPr>
          </c:dPt>
          <c:dPt>
            <c:idx val="98"/>
            <c:bubble3D val="0"/>
            <c:spPr>
              <a:solidFill>
                <a:schemeClr val="accent3">
                  <a:lumMod val="70000"/>
                </a:schemeClr>
              </a:solidFill>
              <a:ln>
                <a:noFill/>
              </a:ln>
              <a:effectLst/>
            </c:spPr>
          </c:dPt>
          <c:dPt>
            <c:idx val="99"/>
            <c:bubble3D val="0"/>
            <c:spPr>
              <a:solidFill>
                <a:schemeClr val="accent4">
                  <a:lumMod val="70000"/>
                </a:schemeClr>
              </a:solidFill>
              <a:ln>
                <a:noFill/>
              </a:ln>
              <a:effectLst/>
            </c:spPr>
          </c:dPt>
          <c:dPt>
            <c:idx val="100"/>
            <c:bubble3D val="0"/>
            <c:spPr>
              <a:solidFill>
                <a:schemeClr val="accent5">
                  <a:lumMod val="70000"/>
                </a:schemeClr>
              </a:solidFill>
              <a:ln>
                <a:noFill/>
              </a:ln>
              <a:effectLst/>
            </c:spPr>
          </c:dPt>
          <c:dPt>
            <c:idx val="101"/>
            <c:bubble3D val="0"/>
            <c:spPr>
              <a:solidFill>
                <a:schemeClr val="accent6">
                  <a:lumMod val="70000"/>
                </a:schemeClr>
              </a:solidFill>
              <a:ln>
                <a:noFill/>
              </a:ln>
              <a:effectLst/>
            </c:spPr>
          </c:dPt>
          <c:dPt>
            <c:idx val="102"/>
            <c:bubble3D val="0"/>
            <c:spPr>
              <a:solidFill>
                <a:schemeClr val="accent1">
                  <a:lumMod val="50000"/>
                  <a:lumOff val="50000"/>
                </a:schemeClr>
              </a:solidFill>
              <a:ln>
                <a:noFill/>
              </a:ln>
              <a:effectLst/>
            </c:spPr>
          </c:dPt>
          <c:dPt>
            <c:idx val="103"/>
            <c:bubble3D val="0"/>
            <c:spPr>
              <a:solidFill>
                <a:schemeClr val="accent2">
                  <a:lumMod val="50000"/>
                  <a:lumOff val="50000"/>
                </a:schemeClr>
              </a:solidFill>
              <a:ln>
                <a:noFill/>
              </a:ln>
              <a:effectLst/>
            </c:spPr>
          </c:dPt>
          <c:dPt>
            <c:idx val="104"/>
            <c:bubble3D val="0"/>
            <c:spPr>
              <a:solidFill>
                <a:schemeClr val="accent3">
                  <a:lumMod val="50000"/>
                  <a:lumOff val="50000"/>
                </a:schemeClr>
              </a:solidFill>
              <a:ln>
                <a:noFill/>
              </a:ln>
              <a:effectLst/>
            </c:spPr>
          </c:dPt>
          <c:dPt>
            <c:idx val="105"/>
            <c:bubble3D val="0"/>
            <c:spPr>
              <a:solidFill>
                <a:schemeClr val="accent4">
                  <a:lumMod val="50000"/>
                  <a:lumOff val="50000"/>
                </a:schemeClr>
              </a:solidFill>
              <a:ln>
                <a:noFill/>
              </a:ln>
              <a:effectLst/>
            </c:spPr>
          </c:dPt>
          <c:dPt>
            <c:idx val="106"/>
            <c:bubble3D val="0"/>
            <c:spPr>
              <a:solidFill>
                <a:schemeClr val="accent5">
                  <a:lumMod val="50000"/>
                  <a:lumOff val="50000"/>
                </a:schemeClr>
              </a:solidFill>
              <a:ln>
                <a:noFill/>
              </a:ln>
              <a:effectLst/>
            </c:spPr>
          </c:dPt>
          <c:dPt>
            <c:idx val="107"/>
            <c:bubble3D val="0"/>
            <c:spPr>
              <a:solidFill>
                <a:schemeClr val="accent6">
                  <a:lumMod val="50000"/>
                  <a:lumOff val="50000"/>
                </a:schemeClr>
              </a:solidFill>
              <a:ln>
                <a:noFill/>
              </a:ln>
              <a:effectLst/>
            </c:spPr>
          </c:dPt>
          <c:dPt>
            <c:idx val="108"/>
            <c:bubble3D val="0"/>
            <c:spPr>
              <a:solidFill>
                <a:schemeClr val="accent1"/>
              </a:solidFill>
              <a:ln>
                <a:noFill/>
              </a:ln>
              <a:effectLst/>
            </c:spPr>
          </c:dPt>
          <c:dPt>
            <c:idx val="109"/>
            <c:bubble3D val="0"/>
            <c:spPr>
              <a:solidFill>
                <a:schemeClr val="accent2"/>
              </a:solidFill>
              <a:ln>
                <a:noFill/>
              </a:ln>
              <a:effectLst/>
            </c:spPr>
          </c:dPt>
          <c:dPt>
            <c:idx val="110"/>
            <c:bubble3D val="0"/>
            <c:spPr>
              <a:solidFill>
                <a:schemeClr val="accent3"/>
              </a:solidFill>
              <a:ln>
                <a:noFill/>
              </a:ln>
              <a:effectLst/>
            </c:spPr>
          </c:dPt>
          <c:dPt>
            <c:idx val="111"/>
            <c:bubble3D val="0"/>
            <c:spPr>
              <a:solidFill>
                <a:schemeClr val="accent4"/>
              </a:solidFill>
              <a:ln>
                <a:noFill/>
              </a:ln>
              <a:effectLst/>
            </c:spPr>
          </c:dPt>
          <c:dPt>
            <c:idx val="112"/>
            <c:bubble3D val="0"/>
            <c:spPr>
              <a:solidFill>
                <a:schemeClr val="accent5"/>
              </a:solidFill>
              <a:ln>
                <a:noFill/>
              </a:ln>
              <a:effectLst/>
            </c:spPr>
          </c:dPt>
          <c:dPt>
            <c:idx val="113"/>
            <c:bubble3D val="0"/>
            <c:spPr>
              <a:solidFill>
                <a:schemeClr val="accent6"/>
              </a:solidFill>
              <a:ln>
                <a:noFill/>
              </a:ln>
              <a:effectLst/>
            </c:spPr>
          </c:dPt>
          <c:dPt>
            <c:idx val="114"/>
            <c:bubble3D val="0"/>
            <c:spPr>
              <a:solidFill>
                <a:schemeClr val="accent1">
                  <a:lumMod val="60000"/>
                </a:schemeClr>
              </a:solidFill>
              <a:ln>
                <a:noFill/>
              </a:ln>
              <a:effectLst/>
            </c:spPr>
          </c:dPt>
          <c:dPt>
            <c:idx val="115"/>
            <c:bubble3D val="0"/>
            <c:spPr>
              <a:solidFill>
                <a:schemeClr val="accent2">
                  <a:lumMod val="60000"/>
                </a:schemeClr>
              </a:solidFill>
              <a:ln>
                <a:noFill/>
              </a:ln>
              <a:effectLst/>
            </c:spPr>
          </c:dPt>
          <c:dPt>
            <c:idx val="116"/>
            <c:bubble3D val="0"/>
            <c:spPr>
              <a:solidFill>
                <a:schemeClr val="accent3">
                  <a:lumMod val="60000"/>
                </a:schemeClr>
              </a:solidFill>
              <a:ln>
                <a:noFill/>
              </a:ln>
              <a:effectLst/>
            </c:spPr>
          </c:dPt>
          <c:dPt>
            <c:idx val="117"/>
            <c:bubble3D val="0"/>
            <c:spPr>
              <a:solidFill>
                <a:schemeClr val="accent4">
                  <a:lumMod val="60000"/>
                </a:schemeClr>
              </a:solidFill>
              <a:ln>
                <a:noFill/>
              </a:ln>
              <a:effectLst/>
            </c:spPr>
          </c:dPt>
          <c:dPt>
            <c:idx val="118"/>
            <c:bubble3D val="0"/>
            <c:spPr>
              <a:solidFill>
                <a:schemeClr val="accent5">
                  <a:lumMod val="60000"/>
                </a:schemeClr>
              </a:solidFill>
              <a:ln>
                <a:noFill/>
              </a:ln>
              <a:effectLst/>
            </c:spPr>
          </c:dPt>
          <c:dPt>
            <c:idx val="119"/>
            <c:bubble3D val="0"/>
            <c:spPr>
              <a:solidFill>
                <a:schemeClr val="accent6">
                  <a:lumMod val="60000"/>
                </a:schemeClr>
              </a:solidFill>
              <a:ln>
                <a:noFill/>
              </a:ln>
              <a:effectLst/>
            </c:spPr>
          </c:dPt>
          <c:dPt>
            <c:idx val="120"/>
            <c:bubble3D val="0"/>
            <c:spPr>
              <a:solidFill>
                <a:schemeClr val="accent1">
                  <a:lumMod val="80000"/>
                  <a:lumOff val="20000"/>
                </a:schemeClr>
              </a:solidFill>
              <a:ln>
                <a:noFill/>
              </a:ln>
              <a:effectLst/>
            </c:spPr>
          </c:dPt>
          <c:dPt>
            <c:idx val="121"/>
            <c:bubble3D val="0"/>
            <c:spPr>
              <a:solidFill>
                <a:schemeClr val="accent2">
                  <a:lumMod val="80000"/>
                  <a:lumOff val="20000"/>
                </a:schemeClr>
              </a:solidFill>
              <a:ln>
                <a:noFill/>
              </a:ln>
              <a:effectLst/>
            </c:spPr>
          </c:dPt>
          <c:dPt>
            <c:idx val="122"/>
            <c:bubble3D val="0"/>
            <c:spPr>
              <a:solidFill>
                <a:schemeClr val="accent3">
                  <a:lumMod val="80000"/>
                  <a:lumOff val="20000"/>
                </a:schemeClr>
              </a:solidFill>
              <a:ln>
                <a:noFill/>
              </a:ln>
              <a:effectLst/>
            </c:spPr>
          </c:dPt>
          <c:dPt>
            <c:idx val="123"/>
            <c:bubble3D val="0"/>
            <c:spPr>
              <a:solidFill>
                <a:schemeClr val="accent4">
                  <a:lumMod val="80000"/>
                  <a:lumOff val="20000"/>
                </a:schemeClr>
              </a:solidFill>
              <a:ln>
                <a:noFill/>
              </a:ln>
              <a:effectLst/>
            </c:spPr>
          </c:dPt>
          <c:dPt>
            <c:idx val="124"/>
            <c:bubble3D val="0"/>
            <c:spPr>
              <a:solidFill>
                <a:schemeClr val="accent5">
                  <a:lumMod val="80000"/>
                  <a:lumOff val="20000"/>
                </a:schemeClr>
              </a:solidFill>
              <a:ln>
                <a:noFill/>
              </a:ln>
              <a:effectLst/>
            </c:spPr>
          </c:dPt>
          <c:dPt>
            <c:idx val="125"/>
            <c:bubble3D val="0"/>
            <c:spPr>
              <a:solidFill>
                <a:schemeClr val="accent6">
                  <a:lumMod val="80000"/>
                  <a:lumOff val="20000"/>
                </a:schemeClr>
              </a:solidFill>
              <a:ln>
                <a:noFill/>
              </a:ln>
              <a:effectLst/>
            </c:spPr>
          </c:dPt>
          <c:dPt>
            <c:idx val="126"/>
            <c:bubble3D val="0"/>
            <c:spPr>
              <a:solidFill>
                <a:schemeClr val="accent1">
                  <a:lumMod val="80000"/>
                </a:schemeClr>
              </a:solidFill>
              <a:ln>
                <a:noFill/>
              </a:ln>
              <a:effectLst/>
            </c:spPr>
          </c:dPt>
          <c:dPt>
            <c:idx val="127"/>
            <c:bubble3D val="0"/>
            <c:spPr>
              <a:solidFill>
                <a:schemeClr val="accent2">
                  <a:lumMod val="80000"/>
                </a:schemeClr>
              </a:solidFill>
              <a:ln>
                <a:noFill/>
              </a:ln>
              <a:effectLst/>
            </c:spPr>
          </c:dPt>
          <c:dPt>
            <c:idx val="128"/>
            <c:bubble3D val="0"/>
            <c:spPr>
              <a:solidFill>
                <a:schemeClr val="accent3">
                  <a:lumMod val="80000"/>
                </a:schemeClr>
              </a:solidFill>
              <a:ln>
                <a:noFill/>
              </a:ln>
              <a:effectLst/>
            </c:spPr>
          </c:dPt>
          <c:dPt>
            <c:idx val="129"/>
            <c:bubble3D val="0"/>
            <c:spPr>
              <a:solidFill>
                <a:schemeClr val="accent4">
                  <a:lumMod val="80000"/>
                </a:schemeClr>
              </a:solidFill>
              <a:ln>
                <a:noFill/>
              </a:ln>
              <a:effectLst/>
            </c:spPr>
          </c:dPt>
          <c:dPt>
            <c:idx val="130"/>
            <c:bubble3D val="0"/>
            <c:spPr>
              <a:solidFill>
                <a:schemeClr val="accent5">
                  <a:lumMod val="80000"/>
                </a:schemeClr>
              </a:solidFill>
              <a:ln>
                <a:noFill/>
              </a:ln>
              <a:effectLst/>
            </c:spPr>
          </c:dPt>
          <c:dPt>
            <c:idx val="131"/>
            <c:bubble3D val="0"/>
            <c:spPr>
              <a:solidFill>
                <a:schemeClr val="accent6">
                  <a:lumMod val="80000"/>
                </a:schemeClr>
              </a:solidFill>
              <a:ln>
                <a:noFill/>
              </a:ln>
              <a:effectLst/>
            </c:spPr>
          </c:dPt>
          <c:dPt>
            <c:idx val="132"/>
            <c:bubble3D val="0"/>
            <c:spPr>
              <a:solidFill>
                <a:schemeClr val="accent1">
                  <a:lumMod val="60000"/>
                  <a:lumOff val="40000"/>
                </a:schemeClr>
              </a:solidFill>
              <a:ln>
                <a:noFill/>
              </a:ln>
              <a:effectLst/>
            </c:spPr>
          </c:dPt>
          <c:dPt>
            <c:idx val="133"/>
            <c:bubble3D val="0"/>
            <c:spPr>
              <a:solidFill>
                <a:schemeClr val="accent2">
                  <a:lumMod val="60000"/>
                  <a:lumOff val="40000"/>
                </a:schemeClr>
              </a:solidFill>
              <a:ln>
                <a:noFill/>
              </a:ln>
              <a:effectLst/>
            </c:spPr>
          </c:dPt>
          <c:dPt>
            <c:idx val="134"/>
            <c:bubble3D val="0"/>
            <c:spPr>
              <a:solidFill>
                <a:schemeClr val="accent3">
                  <a:lumMod val="60000"/>
                  <a:lumOff val="40000"/>
                </a:schemeClr>
              </a:solidFill>
              <a:ln>
                <a:noFill/>
              </a:ln>
              <a:effectLst/>
            </c:spPr>
          </c:dPt>
          <c:dPt>
            <c:idx val="135"/>
            <c:bubble3D val="0"/>
            <c:spPr>
              <a:solidFill>
                <a:schemeClr val="accent4">
                  <a:lumMod val="60000"/>
                  <a:lumOff val="40000"/>
                </a:schemeClr>
              </a:solidFill>
              <a:ln>
                <a:noFill/>
              </a:ln>
              <a:effectLst/>
            </c:spPr>
          </c:dPt>
          <c:dPt>
            <c:idx val="136"/>
            <c:bubble3D val="0"/>
            <c:spPr>
              <a:solidFill>
                <a:schemeClr val="accent5">
                  <a:lumMod val="60000"/>
                  <a:lumOff val="40000"/>
                </a:schemeClr>
              </a:solidFill>
              <a:ln>
                <a:noFill/>
              </a:ln>
              <a:effectLst/>
            </c:spPr>
          </c:dPt>
          <c:dPt>
            <c:idx val="137"/>
            <c:bubble3D val="0"/>
            <c:spPr>
              <a:solidFill>
                <a:schemeClr val="accent6">
                  <a:lumMod val="60000"/>
                  <a:lumOff val="40000"/>
                </a:schemeClr>
              </a:solidFill>
              <a:ln>
                <a:noFill/>
              </a:ln>
              <a:effectLst/>
            </c:spPr>
          </c:dPt>
          <c:dPt>
            <c:idx val="138"/>
            <c:bubble3D val="0"/>
            <c:spPr>
              <a:solidFill>
                <a:schemeClr val="accent1">
                  <a:lumMod val="50000"/>
                </a:schemeClr>
              </a:solidFill>
              <a:ln>
                <a:noFill/>
              </a:ln>
              <a:effectLst/>
            </c:spPr>
          </c:dPt>
          <c:dPt>
            <c:idx val="139"/>
            <c:bubble3D val="0"/>
            <c:spPr>
              <a:solidFill>
                <a:schemeClr val="accent2">
                  <a:lumMod val="50000"/>
                </a:schemeClr>
              </a:solidFill>
              <a:ln>
                <a:noFill/>
              </a:ln>
              <a:effectLst/>
            </c:spPr>
          </c:dPt>
          <c:dPt>
            <c:idx val="140"/>
            <c:bubble3D val="0"/>
            <c:spPr>
              <a:solidFill>
                <a:schemeClr val="accent3">
                  <a:lumMod val="50000"/>
                </a:schemeClr>
              </a:solidFill>
              <a:ln>
                <a:noFill/>
              </a:ln>
              <a:effectLst/>
            </c:spPr>
          </c:dPt>
          <c:dPt>
            <c:idx val="141"/>
            <c:bubble3D val="0"/>
            <c:spPr>
              <a:solidFill>
                <a:schemeClr val="accent4">
                  <a:lumMod val="50000"/>
                </a:schemeClr>
              </a:solidFill>
              <a:ln>
                <a:noFill/>
              </a:ln>
              <a:effectLst/>
            </c:spPr>
          </c:dPt>
          <c:dPt>
            <c:idx val="142"/>
            <c:bubble3D val="0"/>
            <c:spPr>
              <a:solidFill>
                <a:schemeClr val="accent5">
                  <a:lumMod val="50000"/>
                </a:schemeClr>
              </a:solidFill>
              <a:ln>
                <a:noFill/>
              </a:ln>
              <a:effectLst/>
            </c:spPr>
          </c:dPt>
          <c:dPt>
            <c:idx val="143"/>
            <c:bubble3D val="0"/>
            <c:spPr>
              <a:solidFill>
                <a:schemeClr val="accent6">
                  <a:lumMod val="50000"/>
                </a:schemeClr>
              </a:solidFill>
              <a:ln>
                <a:noFill/>
              </a:ln>
              <a:effectLst/>
            </c:spPr>
          </c:dPt>
          <c:dPt>
            <c:idx val="144"/>
            <c:bubble3D val="0"/>
            <c:spPr>
              <a:solidFill>
                <a:schemeClr val="accent1">
                  <a:lumMod val="70000"/>
                  <a:lumOff val="30000"/>
                </a:schemeClr>
              </a:solidFill>
              <a:ln>
                <a:noFill/>
              </a:ln>
              <a:effectLst/>
            </c:spPr>
          </c:dPt>
          <c:dPt>
            <c:idx val="145"/>
            <c:bubble3D val="0"/>
            <c:spPr>
              <a:solidFill>
                <a:schemeClr val="accent2">
                  <a:lumMod val="70000"/>
                  <a:lumOff val="30000"/>
                </a:schemeClr>
              </a:solidFill>
              <a:ln>
                <a:noFill/>
              </a:ln>
              <a:effectLst/>
            </c:spPr>
          </c:dPt>
          <c:dPt>
            <c:idx val="146"/>
            <c:bubble3D val="0"/>
            <c:spPr>
              <a:solidFill>
                <a:schemeClr val="accent3">
                  <a:lumMod val="70000"/>
                  <a:lumOff val="30000"/>
                </a:schemeClr>
              </a:solidFill>
              <a:ln>
                <a:noFill/>
              </a:ln>
              <a:effectLst/>
            </c:spPr>
          </c:dPt>
          <c:dPt>
            <c:idx val="147"/>
            <c:bubble3D val="0"/>
            <c:spPr>
              <a:solidFill>
                <a:schemeClr val="accent4">
                  <a:lumMod val="70000"/>
                  <a:lumOff val="30000"/>
                </a:schemeClr>
              </a:solidFill>
              <a:ln>
                <a:noFill/>
              </a:ln>
              <a:effectLst/>
            </c:spPr>
          </c:dPt>
          <c:dPt>
            <c:idx val="148"/>
            <c:bubble3D val="0"/>
            <c:spPr>
              <a:solidFill>
                <a:schemeClr val="accent5">
                  <a:lumMod val="70000"/>
                  <a:lumOff val="30000"/>
                </a:schemeClr>
              </a:solidFill>
              <a:ln>
                <a:noFill/>
              </a:ln>
              <a:effectLst/>
            </c:spPr>
          </c:dPt>
          <c:dPt>
            <c:idx val="149"/>
            <c:bubble3D val="0"/>
            <c:spPr>
              <a:solidFill>
                <a:schemeClr val="accent6">
                  <a:lumMod val="70000"/>
                  <a:lumOff val="30000"/>
                </a:schemeClr>
              </a:solidFill>
              <a:ln>
                <a:noFill/>
              </a:ln>
              <a:effectLst/>
            </c:spPr>
          </c:dPt>
          <c:dPt>
            <c:idx val="150"/>
            <c:bubble3D val="0"/>
            <c:spPr>
              <a:solidFill>
                <a:schemeClr val="accent1">
                  <a:lumMod val="70000"/>
                </a:schemeClr>
              </a:solidFill>
              <a:ln>
                <a:noFill/>
              </a:ln>
              <a:effectLst/>
            </c:spPr>
          </c:dPt>
          <c:dPt>
            <c:idx val="151"/>
            <c:bubble3D val="0"/>
            <c:spPr>
              <a:solidFill>
                <a:schemeClr val="accent2">
                  <a:lumMod val="70000"/>
                </a:schemeClr>
              </a:solidFill>
              <a:ln>
                <a:noFill/>
              </a:ln>
              <a:effectLst/>
            </c:spPr>
          </c:dPt>
          <c:dPt>
            <c:idx val="152"/>
            <c:bubble3D val="0"/>
            <c:spPr>
              <a:solidFill>
                <a:schemeClr val="accent3">
                  <a:lumMod val="70000"/>
                </a:schemeClr>
              </a:solidFill>
              <a:ln>
                <a:noFill/>
              </a:ln>
              <a:effectLst/>
            </c:spPr>
          </c:dPt>
          <c:dPt>
            <c:idx val="153"/>
            <c:bubble3D val="0"/>
            <c:spPr>
              <a:solidFill>
                <a:schemeClr val="accent4">
                  <a:lumMod val="70000"/>
                </a:schemeClr>
              </a:solidFill>
              <a:ln>
                <a:noFill/>
              </a:ln>
              <a:effectLst/>
            </c:spPr>
          </c:dPt>
          <c:dPt>
            <c:idx val="154"/>
            <c:bubble3D val="0"/>
            <c:spPr>
              <a:solidFill>
                <a:schemeClr val="accent5">
                  <a:lumMod val="70000"/>
                </a:schemeClr>
              </a:solidFill>
              <a:ln>
                <a:noFill/>
              </a:ln>
              <a:effectLst/>
            </c:spPr>
          </c:dPt>
          <c:dPt>
            <c:idx val="155"/>
            <c:bubble3D val="0"/>
            <c:spPr>
              <a:solidFill>
                <a:schemeClr val="accent6">
                  <a:lumMod val="70000"/>
                </a:schemeClr>
              </a:solidFill>
              <a:ln>
                <a:noFill/>
              </a:ln>
              <a:effectLst/>
            </c:spPr>
          </c:dPt>
          <c:dPt>
            <c:idx val="156"/>
            <c:bubble3D val="0"/>
            <c:spPr>
              <a:solidFill>
                <a:schemeClr val="accent1">
                  <a:lumMod val="50000"/>
                  <a:lumOff val="50000"/>
                </a:schemeClr>
              </a:solidFill>
              <a:ln>
                <a:noFill/>
              </a:ln>
              <a:effectLst/>
            </c:spPr>
          </c:dPt>
          <c:dPt>
            <c:idx val="157"/>
            <c:bubble3D val="0"/>
            <c:spPr>
              <a:solidFill>
                <a:schemeClr val="accent2">
                  <a:lumMod val="50000"/>
                  <a:lumOff val="50000"/>
                </a:schemeClr>
              </a:solidFill>
              <a:ln>
                <a:noFill/>
              </a:ln>
              <a:effectLst/>
            </c:spPr>
          </c:dPt>
          <c:dPt>
            <c:idx val="158"/>
            <c:bubble3D val="0"/>
            <c:spPr>
              <a:solidFill>
                <a:schemeClr val="accent3">
                  <a:lumMod val="50000"/>
                  <a:lumOff val="50000"/>
                </a:schemeClr>
              </a:solidFill>
              <a:ln>
                <a:noFill/>
              </a:ln>
              <a:effectLst/>
            </c:spPr>
          </c:dPt>
          <c:dPt>
            <c:idx val="159"/>
            <c:bubble3D val="0"/>
            <c:spPr>
              <a:solidFill>
                <a:schemeClr val="accent4">
                  <a:lumMod val="50000"/>
                  <a:lumOff val="50000"/>
                </a:schemeClr>
              </a:solidFill>
              <a:ln>
                <a:noFill/>
              </a:ln>
              <a:effectLst/>
            </c:spPr>
          </c:dPt>
          <c:dPt>
            <c:idx val="160"/>
            <c:bubble3D val="0"/>
            <c:spPr>
              <a:solidFill>
                <a:schemeClr val="accent5">
                  <a:lumMod val="50000"/>
                  <a:lumOff val="50000"/>
                </a:schemeClr>
              </a:solidFill>
              <a:ln>
                <a:noFill/>
              </a:ln>
              <a:effectLst/>
            </c:spPr>
          </c:dPt>
          <c:dPt>
            <c:idx val="161"/>
            <c:bubble3D val="0"/>
            <c:spPr>
              <a:solidFill>
                <a:schemeClr val="accent6">
                  <a:lumMod val="50000"/>
                  <a:lumOff val="50000"/>
                </a:schemeClr>
              </a:solidFill>
              <a:ln>
                <a:noFill/>
              </a:ln>
              <a:effectLst/>
            </c:spPr>
          </c:dPt>
          <c:dPt>
            <c:idx val="162"/>
            <c:bubble3D val="0"/>
            <c:spPr>
              <a:solidFill>
                <a:schemeClr val="accent1"/>
              </a:solidFill>
              <a:ln>
                <a:noFill/>
              </a:ln>
              <a:effectLst/>
            </c:spPr>
          </c:dPt>
          <c:dPt>
            <c:idx val="163"/>
            <c:bubble3D val="0"/>
            <c:spPr>
              <a:solidFill>
                <a:schemeClr val="accent2"/>
              </a:solidFill>
              <a:ln>
                <a:noFill/>
              </a:ln>
              <a:effectLst/>
            </c:spPr>
          </c:dPt>
          <c:dPt>
            <c:idx val="164"/>
            <c:bubble3D val="0"/>
            <c:spPr>
              <a:solidFill>
                <a:schemeClr val="accent3"/>
              </a:solidFill>
              <a:ln>
                <a:noFill/>
              </a:ln>
              <a:effectLst/>
            </c:spPr>
          </c:dPt>
          <c:dPt>
            <c:idx val="165"/>
            <c:bubble3D val="0"/>
            <c:spPr>
              <a:solidFill>
                <a:schemeClr val="accent4"/>
              </a:solidFill>
              <a:ln>
                <a:noFill/>
              </a:ln>
              <a:effectLst/>
            </c:spPr>
          </c:dPt>
          <c:dPt>
            <c:idx val="166"/>
            <c:bubble3D val="0"/>
            <c:spPr>
              <a:solidFill>
                <a:schemeClr val="accent5"/>
              </a:solidFill>
              <a:ln>
                <a:noFill/>
              </a:ln>
              <a:effectLst/>
            </c:spPr>
          </c:dPt>
          <c:dPt>
            <c:idx val="167"/>
            <c:bubble3D val="0"/>
            <c:spPr>
              <a:solidFill>
                <a:schemeClr val="accent6"/>
              </a:solidFill>
              <a:ln>
                <a:noFill/>
              </a:ln>
              <a:effectLst/>
            </c:spPr>
          </c:dPt>
          <c:dPt>
            <c:idx val="168"/>
            <c:bubble3D val="0"/>
            <c:spPr>
              <a:solidFill>
                <a:schemeClr val="accent1">
                  <a:lumMod val="60000"/>
                </a:schemeClr>
              </a:solidFill>
              <a:ln>
                <a:noFill/>
              </a:ln>
              <a:effectLst/>
            </c:spPr>
          </c:dPt>
          <c:dPt>
            <c:idx val="169"/>
            <c:bubble3D val="0"/>
            <c:spPr>
              <a:solidFill>
                <a:schemeClr val="accent2">
                  <a:lumMod val="60000"/>
                </a:schemeClr>
              </a:solidFill>
              <a:ln>
                <a:noFill/>
              </a:ln>
              <a:effectLst/>
            </c:spPr>
          </c:dPt>
          <c:dPt>
            <c:idx val="170"/>
            <c:bubble3D val="0"/>
            <c:spPr>
              <a:solidFill>
                <a:schemeClr val="accent3">
                  <a:lumMod val="60000"/>
                </a:schemeClr>
              </a:solidFill>
              <a:ln>
                <a:noFill/>
              </a:ln>
              <a:effectLst/>
            </c:spPr>
          </c:dPt>
          <c:dPt>
            <c:idx val="171"/>
            <c:bubble3D val="0"/>
            <c:spPr>
              <a:solidFill>
                <a:schemeClr val="accent4">
                  <a:lumMod val="60000"/>
                </a:schemeClr>
              </a:solidFill>
              <a:ln>
                <a:noFill/>
              </a:ln>
              <a:effectLst/>
            </c:spPr>
          </c:dPt>
          <c:dPt>
            <c:idx val="172"/>
            <c:bubble3D val="0"/>
            <c:spPr>
              <a:solidFill>
                <a:schemeClr val="accent5">
                  <a:lumMod val="60000"/>
                </a:schemeClr>
              </a:solidFill>
              <a:ln>
                <a:noFill/>
              </a:ln>
              <a:effectLst/>
            </c:spPr>
          </c:dPt>
          <c:dPt>
            <c:idx val="173"/>
            <c:bubble3D val="0"/>
            <c:spPr>
              <a:solidFill>
                <a:schemeClr val="accent6">
                  <a:lumMod val="60000"/>
                </a:schemeClr>
              </a:solidFill>
              <a:ln>
                <a:noFill/>
              </a:ln>
              <a:effectLst/>
            </c:spPr>
          </c:dPt>
          <c:dPt>
            <c:idx val="174"/>
            <c:bubble3D val="0"/>
            <c:spPr>
              <a:solidFill>
                <a:schemeClr val="accent1">
                  <a:lumMod val="80000"/>
                  <a:lumOff val="20000"/>
                </a:schemeClr>
              </a:solidFill>
              <a:ln>
                <a:noFill/>
              </a:ln>
              <a:effectLst/>
            </c:spPr>
          </c:dPt>
          <c:dPt>
            <c:idx val="175"/>
            <c:bubble3D val="0"/>
            <c:spPr>
              <a:solidFill>
                <a:schemeClr val="accent2">
                  <a:lumMod val="80000"/>
                  <a:lumOff val="20000"/>
                </a:schemeClr>
              </a:solidFill>
              <a:ln>
                <a:noFill/>
              </a:ln>
              <a:effectLst/>
            </c:spPr>
          </c:dPt>
          <c:dPt>
            <c:idx val="176"/>
            <c:bubble3D val="0"/>
            <c:spPr>
              <a:solidFill>
                <a:schemeClr val="accent3">
                  <a:lumMod val="80000"/>
                  <a:lumOff val="20000"/>
                </a:schemeClr>
              </a:solidFill>
              <a:ln>
                <a:noFill/>
              </a:ln>
              <a:effectLst/>
            </c:spPr>
          </c:dPt>
          <c:dPt>
            <c:idx val="177"/>
            <c:bubble3D val="0"/>
            <c:spPr>
              <a:solidFill>
                <a:schemeClr val="accent4">
                  <a:lumMod val="80000"/>
                  <a:lumOff val="20000"/>
                </a:schemeClr>
              </a:solidFill>
              <a:ln>
                <a:noFill/>
              </a:ln>
              <a:effectLst/>
            </c:spPr>
          </c:dPt>
          <c:dPt>
            <c:idx val="178"/>
            <c:bubble3D val="0"/>
            <c:spPr>
              <a:solidFill>
                <a:schemeClr val="accent5">
                  <a:lumMod val="80000"/>
                  <a:lumOff val="20000"/>
                </a:schemeClr>
              </a:solidFill>
              <a:ln>
                <a:noFill/>
              </a:ln>
              <a:effectLst/>
            </c:spPr>
          </c:dPt>
          <c:dPt>
            <c:idx val="179"/>
            <c:bubble3D val="0"/>
            <c:spPr>
              <a:solidFill>
                <a:schemeClr val="accent6">
                  <a:lumMod val="80000"/>
                  <a:lumOff val="20000"/>
                </a:schemeClr>
              </a:solidFill>
              <a:ln>
                <a:noFill/>
              </a:ln>
              <a:effectLst/>
            </c:spPr>
          </c:dPt>
          <c:dPt>
            <c:idx val="180"/>
            <c:bubble3D val="0"/>
            <c:spPr>
              <a:solidFill>
                <a:schemeClr val="accent1">
                  <a:lumMod val="80000"/>
                </a:schemeClr>
              </a:solidFill>
              <a:ln>
                <a:noFill/>
              </a:ln>
              <a:effectLst/>
            </c:spPr>
          </c:dPt>
          <c:dPt>
            <c:idx val="181"/>
            <c:bubble3D val="0"/>
            <c:spPr>
              <a:solidFill>
                <a:schemeClr val="accent2">
                  <a:lumMod val="80000"/>
                </a:schemeClr>
              </a:solidFill>
              <a:ln>
                <a:noFill/>
              </a:ln>
              <a:effectLst/>
            </c:spPr>
          </c:dPt>
          <c:dPt>
            <c:idx val="182"/>
            <c:bubble3D val="0"/>
            <c:spPr>
              <a:solidFill>
                <a:schemeClr val="accent3">
                  <a:lumMod val="80000"/>
                </a:schemeClr>
              </a:solidFill>
              <a:ln>
                <a:noFill/>
              </a:ln>
              <a:effectLst/>
            </c:spPr>
          </c:dPt>
          <c:dPt>
            <c:idx val="183"/>
            <c:bubble3D val="0"/>
            <c:spPr>
              <a:solidFill>
                <a:schemeClr val="accent4">
                  <a:lumMod val="80000"/>
                </a:schemeClr>
              </a:solidFill>
              <a:ln>
                <a:noFill/>
              </a:ln>
              <a:effectLst/>
            </c:spPr>
          </c:dPt>
          <c:dPt>
            <c:idx val="184"/>
            <c:bubble3D val="0"/>
            <c:spPr>
              <a:solidFill>
                <a:schemeClr val="accent5">
                  <a:lumMod val="80000"/>
                </a:schemeClr>
              </a:solidFill>
              <a:ln>
                <a:noFill/>
              </a:ln>
              <a:effectLst/>
            </c:spPr>
          </c:dPt>
          <c:dPt>
            <c:idx val="185"/>
            <c:bubble3D val="0"/>
            <c:spPr>
              <a:solidFill>
                <a:schemeClr val="accent6">
                  <a:lumMod val="80000"/>
                </a:schemeClr>
              </a:solidFill>
              <a:ln>
                <a:noFill/>
              </a:ln>
              <a:effectLst/>
            </c:spPr>
          </c:dPt>
          <c:dPt>
            <c:idx val="186"/>
            <c:bubble3D val="0"/>
            <c:spPr>
              <a:solidFill>
                <a:schemeClr val="accent1">
                  <a:lumMod val="60000"/>
                  <a:lumOff val="40000"/>
                </a:schemeClr>
              </a:solidFill>
              <a:ln>
                <a:noFill/>
              </a:ln>
              <a:effectLst/>
            </c:spPr>
          </c:dPt>
          <c:dPt>
            <c:idx val="187"/>
            <c:bubble3D val="0"/>
            <c:spPr>
              <a:solidFill>
                <a:schemeClr val="accent2">
                  <a:lumMod val="60000"/>
                  <a:lumOff val="40000"/>
                </a:schemeClr>
              </a:solidFill>
              <a:ln>
                <a:noFill/>
              </a:ln>
              <a:effectLst/>
            </c:spPr>
          </c:dPt>
          <c:dPt>
            <c:idx val="188"/>
            <c:bubble3D val="0"/>
            <c:spPr>
              <a:solidFill>
                <a:schemeClr val="accent3">
                  <a:lumMod val="60000"/>
                  <a:lumOff val="40000"/>
                </a:schemeClr>
              </a:solidFill>
              <a:ln>
                <a:noFill/>
              </a:ln>
              <a:effectLst/>
            </c:spPr>
          </c:dPt>
          <c:dPt>
            <c:idx val="189"/>
            <c:bubble3D val="0"/>
            <c:spPr>
              <a:solidFill>
                <a:schemeClr val="accent4">
                  <a:lumMod val="60000"/>
                  <a:lumOff val="40000"/>
                </a:schemeClr>
              </a:solidFill>
              <a:ln>
                <a:noFill/>
              </a:ln>
              <a:effectLst/>
            </c:spPr>
          </c:dPt>
          <c:dPt>
            <c:idx val="190"/>
            <c:bubble3D val="0"/>
            <c:spPr>
              <a:solidFill>
                <a:schemeClr val="accent5">
                  <a:lumMod val="60000"/>
                  <a:lumOff val="40000"/>
                </a:schemeClr>
              </a:solidFill>
              <a:ln>
                <a:noFill/>
              </a:ln>
              <a:effectLst/>
            </c:spPr>
          </c:dPt>
          <c:dPt>
            <c:idx val="191"/>
            <c:bubble3D val="0"/>
            <c:spPr>
              <a:solidFill>
                <a:schemeClr val="accent6">
                  <a:lumMod val="60000"/>
                  <a:lumOff val="40000"/>
                </a:schemeClr>
              </a:solidFill>
              <a:ln>
                <a:noFill/>
              </a:ln>
              <a:effectLst/>
            </c:spPr>
          </c:dPt>
          <c:dPt>
            <c:idx val="192"/>
            <c:bubble3D val="0"/>
            <c:spPr>
              <a:solidFill>
                <a:schemeClr val="accent1">
                  <a:lumMod val="50000"/>
                </a:schemeClr>
              </a:solidFill>
              <a:ln>
                <a:noFill/>
              </a:ln>
              <a:effectLst/>
            </c:spPr>
          </c:dPt>
          <c:dPt>
            <c:idx val="193"/>
            <c:bubble3D val="0"/>
            <c:spPr>
              <a:solidFill>
                <a:schemeClr val="accent2">
                  <a:lumMod val="50000"/>
                </a:schemeClr>
              </a:solidFill>
              <a:ln>
                <a:noFill/>
              </a:ln>
              <a:effectLst/>
            </c:spPr>
          </c:dPt>
          <c:dPt>
            <c:idx val="194"/>
            <c:bubble3D val="0"/>
            <c:spPr>
              <a:solidFill>
                <a:schemeClr val="accent3">
                  <a:lumMod val="50000"/>
                </a:schemeClr>
              </a:solidFill>
              <a:ln>
                <a:noFill/>
              </a:ln>
              <a:effectLst/>
            </c:spPr>
          </c:dPt>
          <c:dPt>
            <c:idx val="195"/>
            <c:bubble3D val="0"/>
            <c:spPr>
              <a:solidFill>
                <a:schemeClr val="accent4">
                  <a:lumMod val="50000"/>
                </a:schemeClr>
              </a:solidFill>
              <a:ln>
                <a:noFill/>
              </a:ln>
              <a:effectLst/>
            </c:spPr>
          </c:dPt>
          <c:dPt>
            <c:idx val="196"/>
            <c:bubble3D val="0"/>
            <c:spPr>
              <a:solidFill>
                <a:schemeClr val="accent5">
                  <a:lumMod val="50000"/>
                </a:schemeClr>
              </a:solidFill>
              <a:ln>
                <a:noFill/>
              </a:ln>
              <a:effectLst/>
            </c:spPr>
          </c:dPt>
          <c:dPt>
            <c:idx val="197"/>
            <c:bubble3D val="0"/>
            <c:spPr>
              <a:solidFill>
                <a:schemeClr val="accent6">
                  <a:lumMod val="50000"/>
                </a:schemeClr>
              </a:solidFill>
              <a:ln>
                <a:noFill/>
              </a:ln>
              <a:effectLst/>
            </c:spPr>
          </c:dPt>
          <c:dPt>
            <c:idx val="198"/>
            <c:bubble3D val="0"/>
            <c:spPr>
              <a:solidFill>
                <a:schemeClr val="accent1">
                  <a:lumMod val="70000"/>
                  <a:lumOff val="30000"/>
                </a:schemeClr>
              </a:solidFill>
              <a:ln>
                <a:noFill/>
              </a:ln>
              <a:effectLst/>
            </c:spPr>
          </c:dPt>
          <c:dPt>
            <c:idx val="199"/>
            <c:bubble3D val="0"/>
            <c:spPr>
              <a:solidFill>
                <a:schemeClr val="accent2">
                  <a:lumMod val="70000"/>
                  <a:lumOff val="30000"/>
                </a:schemeClr>
              </a:solidFill>
              <a:ln>
                <a:noFill/>
              </a:ln>
              <a:effectLst/>
            </c:spPr>
          </c:dPt>
          <c:dPt>
            <c:idx val="200"/>
            <c:bubble3D val="0"/>
            <c:spPr>
              <a:solidFill>
                <a:schemeClr val="accent3">
                  <a:lumMod val="70000"/>
                  <a:lumOff val="30000"/>
                </a:schemeClr>
              </a:solidFill>
              <a:ln>
                <a:noFill/>
              </a:ln>
              <a:effectLst/>
            </c:spPr>
          </c:dPt>
          <c:dPt>
            <c:idx val="201"/>
            <c:bubble3D val="0"/>
            <c:spPr>
              <a:solidFill>
                <a:schemeClr val="accent4">
                  <a:lumMod val="70000"/>
                  <a:lumOff val="30000"/>
                </a:schemeClr>
              </a:solidFill>
              <a:ln>
                <a:noFill/>
              </a:ln>
              <a:effectLst/>
            </c:spPr>
          </c:dPt>
          <c:dPt>
            <c:idx val="202"/>
            <c:bubble3D val="0"/>
            <c:spPr>
              <a:solidFill>
                <a:schemeClr val="accent5">
                  <a:lumMod val="70000"/>
                  <a:lumOff val="30000"/>
                </a:schemeClr>
              </a:solidFill>
              <a:ln>
                <a:noFill/>
              </a:ln>
              <a:effectLst/>
            </c:spPr>
          </c:dPt>
          <c:dPt>
            <c:idx val="203"/>
            <c:bubble3D val="0"/>
            <c:spPr>
              <a:solidFill>
                <a:schemeClr val="accent6">
                  <a:lumMod val="70000"/>
                  <a:lumOff val="30000"/>
                </a:schemeClr>
              </a:solidFill>
              <a:ln>
                <a:noFill/>
              </a:ln>
              <a:effectLst/>
            </c:spPr>
          </c:dPt>
          <c:dPt>
            <c:idx val="204"/>
            <c:bubble3D val="0"/>
            <c:spPr>
              <a:solidFill>
                <a:schemeClr val="accent1">
                  <a:lumMod val="70000"/>
                </a:schemeClr>
              </a:solidFill>
              <a:ln>
                <a:noFill/>
              </a:ln>
              <a:effectLst/>
            </c:spPr>
          </c:dPt>
          <c:dPt>
            <c:idx val="205"/>
            <c:bubble3D val="0"/>
            <c:spPr>
              <a:solidFill>
                <a:schemeClr val="accent2">
                  <a:lumMod val="70000"/>
                </a:schemeClr>
              </a:solidFill>
              <a:ln>
                <a:noFill/>
              </a:ln>
              <a:effectLst/>
            </c:spPr>
          </c:dPt>
          <c:dPt>
            <c:idx val="206"/>
            <c:bubble3D val="0"/>
            <c:spPr>
              <a:solidFill>
                <a:schemeClr val="accent3">
                  <a:lumMod val="70000"/>
                </a:schemeClr>
              </a:solidFill>
              <a:ln>
                <a:noFill/>
              </a:ln>
              <a:effectLst/>
            </c:spPr>
          </c:dPt>
          <c:dPt>
            <c:idx val="207"/>
            <c:bubble3D val="0"/>
            <c:spPr>
              <a:solidFill>
                <a:schemeClr val="accent4">
                  <a:lumMod val="70000"/>
                </a:schemeClr>
              </a:solidFill>
              <a:ln>
                <a:noFill/>
              </a:ln>
              <a:effectLst/>
            </c:spPr>
          </c:dPt>
          <c:dPt>
            <c:idx val="208"/>
            <c:bubble3D val="0"/>
            <c:spPr>
              <a:solidFill>
                <a:schemeClr val="accent5">
                  <a:lumMod val="70000"/>
                </a:schemeClr>
              </a:solidFill>
              <a:ln>
                <a:noFill/>
              </a:ln>
              <a:effectLst/>
            </c:spPr>
          </c:dPt>
          <c:dPt>
            <c:idx val="209"/>
            <c:bubble3D val="0"/>
            <c:spPr>
              <a:solidFill>
                <a:schemeClr val="accent6">
                  <a:lumMod val="70000"/>
                </a:schemeClr>
              </a:solidFill>
              <a:ln>
                <a:noFill/>
              </a:ln>
              <a:effectLst/>
            </c:spPr>
          </c:dPt>
          <c:dPt>
            <c:idx val="210"/>
            <c:bubble3D val="0"/>
            <c:spPr>
              <a:solidFill>
                <a:schemeClr val="accent1">
                  <a:lumMod val="50000"/>
                  <a:lumOff val="50000"/>
                </a:schemeClr>
              </a:solidFill>
              <a:ln>
                <a:noFill/>
              </a:ln>
              <a:effectLst/>
            </c:spPr>
          </c:dPt>
          <c:dPt>
            <c:idx val="211"/>
            <c:bubble3D val="0"/>
            <c:spPr>
              <a:solidFill>
                <a:schemeClr val="accent2">
                  <a:lumMod val="50000"/>
                  <a:lumOff val="50000"/>
                </a:schemeClr>
              </a:solidFill>
              <a:ln>
                <a:noFill/>
              </a:ln>
              <a:effectLst/>
            </c:spPr>
          </c:dPt>
          <c:dPt>
            <c:idx val="212"/>
            <c:bubble3D val="0"/>
            <c:spPr>
              <a:solidFill>
                <a:schemeClr val="accent3">
                  <a:lumMod val="50000"/>
                  <a:lumOff val="50000"/>
                </a:schemeClr>
              </a:solidFill>
              <a:ln>
                <a:noFill/>
              </a:ln>
              <a:effectLst/>
            </c:spPr>
          </c:dPt>
          <c:dPt>
            <c:idx val="213"/>
            <c:bubble3D val="0"/>
            <c:spPr>
              <a:solidFill>
                <a:schemeClr val="accent4">
                  <a:lumMod val="50000"/>
                  <a:lumOff val="50000"/>
                </a:schemeClr>
              </a:solidFill>
              <a:ln>
                <a:noFill/>
              </a:ln>
              <a:effectLst/>
            </c:spPr>
          </c:dPt>
          <c:dPt>
            <c:idx val="214"/>
            <c:bubble3D val="0"/>
            <c:spPr>
              <a:solidFill>
                <a:schemeClr val="accent5">
                  <a:lumMod val="50000"/>
                  <a:lumOff val="50000"/>
                </a:schemeClr>
              </a:solidFill>
              <a:ln>
                <a:noFill/>
              </a:ln>
              <a:effectLst/>
            </c:spPr>
          </c:dPt>
          <c:dPt>
            <c:idx val="215"/>
            <c:bubble3D val="0"/>
            <c:spPr>
              <a:solidFill>
                <a:schemeClr val="accent6">
                  <a:lumMod val="50000"/>
                  <a:lumOff val="50000"/>
                </a:schemeClr>
              </a:solidFill>
              <a:ln>
                <a:noFill/>
              </a:ln>
              <a:effectLst/>
            </c:spPr>
          </c:dPt>
          <c:dPt>
            <c:idx val="216"/>
            <c:bubble3D val="0"/>
            <c:spPr>
              <a:solidFill>
                <a:schemeClr val="accent1"/>
              </a:solidFill>
              <a:ln>
                <a:noFill/>
              </a:ln>
              <a:effectLst/>
            </c:spPr>
          </c:dPt>
          <c:dPt>
            <c:idx val="217"/>
            <c:bubble3D val="0"/>
            <c:spPr>
              <a:solidFill>
                <a:schemeClr val="accent2"/>
              </a:solidFill>
              <a:ln>
                <a:noFill/>
              </a:ln>
              <a:effectLst/>
            </c:spPr>
          </c:dPt>
          <c:dPt>
            <c:idx val="218"/>
            <c:bubble3D val="0"/>
            <c:spPr>
              <a:solidFill>
                <a:schemeClr val="accent3"/>
              </a:solidFill>
              <a:ln>
                <a:noFill/>
              </a:ln>
              <a:effectLst/>
            </c:spPr>
          </c:dPt>
          <c:dPt>
            <c:idx val="219"/>
            <c:bubble3D val="0"/>
            <c:spPr>
              <a:solidFill>
                <a:schemeClr val="accent4"/>
              </a:solidFill>
              <a:ln>
                <a:noFill/>
              </a:ln>
              <a:effectLst/>
            </c:spPr>
          </c:dPt>
          <c:dPt>
            <c:idx val="220"/>
            <c:bubble3D val="0"/>
            <c:spPr>
              <a:solidFill>
                <a:schemeClr val="accent5"/>
              </a:solidFill>
              <a:ln>
                <a:noFill/>
              </a:ln>
              <a:effectLst/>
            </c:spPr>
          </c:dPt>
          <c:dPt>
            <c:idx val="221"/>
            <c:bubble3D val="0"/>
            <c:spPr>
              <a:solidFill>
                <a:schemeClr val="accent6"/>
              </a:solidFill>
              <a:ln>
                <a:noFill/>
              </a:ln>
              <a:effectLst/>
            </c:spPr>
          </c:dPt>
          <c:dPt>
            <c:idx val="222"/>
            <c:bubble3D val="0"/>
            <c:spPr>
              <a:solidFill>
                <a:schemeClr val="accent1">
                  <a:lumMod val="60000"/>
                </a:schemeClr>
              </a:solidFill>
              <a:ln>
                <a:noFill/>
              </a:ln>
              <a:effectLst/>
            </c:spPr>
          </c:dPt>
          <c:dPt>
            <c:idx val="223"/>
            <c:bubble3D val="0"/>
            <c:spPr>
              <a:solidFill>
                <a:schemeClr val="accent2">
                  <a:lumMod val="60000"/>
                </a:schemeClr>
              </a:solidFill>
              <a:ln>
                <a:noFill/>
              </a:ln>
              <a:effectLst/>
            </c:spPr>
          </c:dPt>
          <c:dPt>
            <c:idx val="224"/>
            <c:bubble3D val="0"/>
            <c:spPr>
              <a:solidFill>
                <a:schemeClr val="accent3">
                  <a:lumMod val="60000"/>
                </a:schemeClr>
              </a:solidFill>
              <a:ln>
                <a:noFill/>
              </a:ln>
              <a:effectLst/>
            </c:spPr>
          </c:dPt>
          <c:dPt>
            <c:idx val="225"/>
            <c:bubble3D val="0"/>
            <c:spPr>
              <a:solidFill>
                <a:schemeClr val="accent4">
                  <a:lumMod val="60000"/>
                </a:schemeClr>
              </a:solidFill>
              <a:ln>
                <a:noFill/>
              </a:ln>
              <a:effectLst/>
            </c:spPr>
          </c:dPt>
          <c:dPt>
            <c:idx val="226"/>
            <c:bubble3D val="0"/>
            <c:spPr>
              <a:solidFill>
                <a:schemeClr val="accent5">
                  <a:lumMod val="60000"/>
                </a:schemeClr>
              </a:solidFill>
              <a:ln>
                <a:noFill/>
              </a:ln>
              <a:effectLst/>
            </c:spPr>
          </c:dPt>
          <c:dPt>
            <c:idx val="227"/>
            <c:bubble3D val="0"/>
            <c:spPr>
              <a:solidFill>
                <a:schemeClr val="accent6">
                  <a:lumMod val="60000"/>
                </a:schemeClr>
              </a:solidFill>
              <a:ln>
                <a:noFill/>
              </a:ln>
              <a:effectLst/>
            </c:spPr>
          </c:dPt>
          <c:dPt>
            <c:idx val="228"/>
            <c:bubble3D val="0"/>
            <c:spPr>
              <a:solidFill>
                <a:schemeClr val="accent1">
                  <a:lumMod val="80000"/>
                  <a:lumOff val="20000"/>
                </a:schemeClr>
              </a:solidFill>
              <a:ln>
                <a:noFill/>
              </a:ln>
              <a:effectLst/>
            </c:spPr>
          </c:dPt>
          <c:dPt>
            <c:idx val="229"/>
            <c:bubble3D val="0"/>
            <c:spPr>
              <a:solidFill>
                <a:schemeClr val="accent2">
                  <a:lumMod val="80000"/>
                  <a:lumOff val="20000"/>
                </a:schemeClr>
              </a:solidFill>
              <a:ln>
                <a:noFill/>
              </a:ln>
              <a:effectLst/>
            </c:spPr>
          </c:dPt>
          <c:dPt>
            <c:idx val="230"/>
            <c:bubble3D val="0"/>
            <c:spPr>
              <a:solidFill>
                <a:schemeClr val="accent3">
                  <a:lumMod val="80000"/>
                  <a:lumOff val="20000"/>
                </a:schemeClr>
              </a:solidFill>
              <a:ln>
                <a:noFill/>
              </a:ln>
              <a:effectLst/>
            </c:spPr>
          </c:dPt>
          <c:dPt>
            <c:idx val="231"/>
            <c:bubble3D val="0"/>
            <c:spPr>
              <a:solidFill>
                <a:schemeClr val="accent4">
                  <a:lumMod val="80000"/>
                  <a:lumOff val="20000"/>
                </a:schemeClr>
              </a:solidFill>
              <a:ln>
                <a:noFill/>
              </a:ln>
              <a:effectLst/>
            </c:spPr>
          </c:dPt>
          <c:dPt>
            <c:idx val="232"/>
            <c:bubble3D val="0"/>
            <c:spPr>
              <a:solidFill>
                <a:schemeClr val="accent5">
                  <a:lumMod val="80000"/>
                  <a:lumOff val="20000"/>
                </a:schemeClr>
              </a:solidFill>
              <a:ln>
                <a:noFill/>
              </a:ln>
              <a:effectLst/>
            </c:spPr>
          </c:dPt>
          <c:dPt>
            <c:idx val="233"/>
            <c:bubble3D val="0"/>
            <c:spPr>
              <a:solidFill>
                <a:schemeClr val="accent6">
                  <a:lumMod val="80000"/>
                  <a:lumOff val="20000"/>
                </a:schemeClr>
              </a:solidFill>
              <a:ln>
                <a:noFill/>
              </a:ln>
              <a:effectLst/>
            </c:spPr>
          </c:dPt>
          <c:dPt>
            <c:idx val="234"/>
            <c:bubble3D val="0"/>
            <c:spPr>
              <a:solidFill>
                <a:schemeClr val="accent1">
                  <a:lumMod val="80000"/>
                </a:schemeClr>
              </a:solidFill>
              <a:ln>
                <a:noFill/>
              </a:ln>
              <a:effectLst/>
            </c:spPr>
          </c:dPt>
          <c:dPt>
            <c:idx val="235"/>
            <c:bubble3D val="0"/>
            <c:spPr>
              <a:solidFill>
                <a:schemeClr val="accent2">
                  <a:lumMod val="80000"/>
                </a:schemeClr>
              </a:solidFill>
              <a:ln>
                <a:noFill/>
              </a:ln>
              <a:effectLst/>
            </c:spPr>
          </c:dPt>
          <c:dPt>
            <c:idx val="236"/>
            <c:bubble3D val="0"/>
            <c:spPr>
              <a:solidFill>
                <a:schemeClr val="accent3">
                  <a:lumMod val="80000"/>
                </a:schemeClr>
              </a:solidFill>
              <a:ln>
                <a:noFill/>
              </a:ln>
              <a:effectLst/>
            </c:spPr>
          </c:dPt>
          <c:dPt>
            <c:idx val="237"/>
            <c:bubble3D val="0"/>
            <c:spPr>
              <a:solidFill>
                <a:schemeClr val="accent4">
                  <a:lumMod val="80000"/>
                </a:schemeClr>
              </a:solidFill>
              <a:ln>
                <a:noFill/>
              </a:ln>
              <a:effectLst/>
            </c:spPr>
          </c:dPt>
          <c:dPt>
            <c:idx val="238"/>
            <c:bubble3D val="0"/>
            <c:spPr>
              <a:solidFill>
                <a:schemeClr val="accent5">
                  <a:lumMod val="80000"/>
                </a:schemeClr>
              </a:solidFill>
              <a:ln>
                <a:noFill/>
              </a:ln>
              <a:effectLst/>
            </c:spPr>
          </c:dPt>
          <c:dPt>
            <c:idx val="239"/>
            <c:bubble3D val="0"/>
            <c:spPr>
              <a:solidFill>
                <a:schemeClr val="accent6">
                  <a:lumMod val="80000"/>
                </a:schemeClr>
              </a:solidFill>
              <a:ln>
                <a:noFill/>
              </a:ln>
              <a:effectLst/>
            </c:spPr>
          </c:dPt>
          <c:dPt>
            <c:idx val="240"/>
            <c:bubble3D val="0"/>
            <c:spPr>
              <a:solidFill>
                <a:schemeClr val="accent1">
                  <a:lumMod val="60000"/>
                  <a:lumOff val="40000"/>
                </a:schemeClr>
              </a:solidFill>
              <a:ln>
                <a:noFill/>
              </a:ln>
              <a:effectLst/>
            </c:spPr>
          </c:dPt>
          <c:dPt>
            <c:idx val="241"/>
            <c:bubble3D val="0"/>
            <c:spPr>
              <a:solidFill>
                <a:schemeClr val="accent2">
                  <a:lumMod val="60000"/>
                  <a:lumOff val="40000"/>
                </a:schemeClr>
              </a:solidFill>
              <a:ln>
                <a:noFill/>
              </a:ln>
              <a:effectLst/>
            </c:spPr>
          </c:dPt>
          <c:dPt>
            <c:idx val="242"/>
            <c:bubble3D val="0"/>
            <c:spPr>
              <a:solidFill>
                <a:schemeClr val="accent3">
                  <a:lumMod val="60000"/>
                  <a:lumOff val="40000"/>
                </a:schemeClr>
              </a:solidFill>
              <a:ln>
                <a:noFill/>
              </a:ln>
              <a:effectLst/>
            </c:spPr>
          </c:dPt>
          <c:dPt>
            <c:idx val="243"/>
            <c:bubble3D val="0"/>
            <c:spPr>
              <a:solidFill>
                <a:schemeClr val="accent4">
                  <a:lumMod val="60000"/>
                  <a:lumOff val="40000"/>
                </a:schemeClr>
              </a:solidFill>
              <a:ln>
                <a:noFill/>
              </a:ln>
              <a:effectLst/>
            </c:spPr>
          </c:dPt>
          <c:dPt>
            <c:idx val="244"/>
            <c:bubble3D val="0"/>
            <c:spPr>
              <a:solidFill>
                <a:schemeClr val="accent5">
                  <a:lumMod val="60000"/>
                  <a:lumOff val="40000"/>
                </a:schemeClr>
              </a:solidFill>
              <a:ln>
                <a:noFill/>
              </a:ln>
              <a:effectLst/>
            </c:spPr>
          </c:dPt>
          <c:dPt>
            <c:idx val="245"/>
            <c:bubble3D val="0"/>
            <c:spPr>
              <a:solidFill>
                <a:schemeClr val="accent6">
                  <a:lumMod val="60000"/>
                  <a:lumOff val="40000"/>
                </a:schemeClr>
              </a:solidFill>
              <a:ln>
                <a:noFill/>
              </a:ln>
              <a:effectLst/>
            </c:spPr>
          </c:dPt>
          <c:dPt>
            <c:idx val="246"/>
            <c:bubble3D val="0"/>
            <c:spPr>
              <a:solidFill>
                <a:schemeClr val="accent1">
                  <a:lumMod val="50000"/>
                </a:schemeClr>
              </a:solidFill>
              <a:ln>
                <a:noFill/>
              </a:ln>
              <a:effectLst/>
            </c:spPr>
          </c:dPt>
          <c:dPt>
            <c:idx val="247"/>
            <c:bubble3D val="0"/>
            <c:spPr>
              <a:solidFill>
                <a:schemeClr val="accent2">
                  <a:lumMod val="50000"/>
                </a:schemeClr>
              </a:solidFill>
              <a:ln>
                <a:noFill/>
              </a:ln>
              <a:effectLst/>
            </c:spPr>
          </c:dPt>
          <c:dPt>
            <c:idx val="248"/>
            <c:bubble3D val="0"/>
            <c:spPr>
              <a:solidFill>
                <a:schemeClr val="accent3">
                  <a:lumMod val="50000"/>
                </a:schemeClr>
              </a:solidFill>
              <a:ln>
                <a:noFill/>
              </a:ln>
              <a:effectLst/>
            </c:spPr>
          </c:dPt>
          <c:dPt>
            <c:idx val="249"/>
            <c:bubble3D val="0"/>
            <c:spPr>
              <a:solidFill>
                <a:schemeClr val="accent4">
                  <a:lumMod val="50000"/>
                </a:schemeClr>
              </a:solidFill>
              <a:ln>
                <a:noFill/>
              </a:ln>
              <a:effectLst/>
            </c:spPr>
          </c:dPt>
          <c:dPt>
            <c:idx val="250"/>
            <c:bubble3D val="0"/>
            <c:spPr>
              <a:solidFill>
                <a:schemeClr val="accent5">
                  <a:lumMod val="50000"/>
                </a:schemeClr>
              </a:solidFill>
              <a:ln>
                <a:noFill/>
              </a:ln>
              <a:effectLst/>
            </c:spPr>
          </c:dPt>
          <c:dPt>
            <c:idx val="251"/>
            <c:bubble3D val="0"/>
            <c:spPr>
              <a:solidFill>
                <a:schemeClr val="accent6">
                  <a:lumMod val="50000"/>
                </a:schemeClr>
              </a:solidFill>
              <a:ln>
                <a:noFill/>
              </a:ln>
              <a:effectLst/>
            </c:spPr>
          </c:dPt>
          <c:dPt>
            <c:idx val="252"/>
            <c:bubble3D val="0"/>
            <c:spPr>
              <a:solidFill>
                <a:schemeClr val="accent1">
                  <a:lumMod val="70000"/>
                  <a:lumOff val="30000"/>
                </a:schemeClr>
              </a:solidFill>
              <a:ln>
                <a:noFill/>
              </a:ln>
              <a:effectLst/>
            </c:spPr>
          </c:dPt>
          <c:dPt>
            <c:idx val="253"/>
            <c:bubble3D val="0"/>
            <c:spPr>
              <a:solidFill>
                <a:schemeClr val="accent2">
                  <a:lumMod val="70000"/>
                  <a:lumOff val="30000"/>
                </a:schemeClr>
              </a:solidFill>
              <a:ln>
                <a:noFill/>
              </a:ln>
              <a:effectLst/>
            </c:spPr>
          </c:dPt>
          <c:dPt>
            <c:idx val="254"/>
            <c:bubble3D val="0"/>
            <c:spPr>
              <a:solidFill>
                <a:schemeClr val="accent3">
                  <a:lumMod val="70000"/>
                  <a:lumOff val="30000"/>
                </a:schemeClr>
              </a:solidFill>
              <a:ln>
                <a:noFill/>
              </a:ln>
              <a:effectLst/>
            </c:spPr>
          </c:dPt>
          <c:dPt>
            <c:idx val="255"/>
            <c:bubble3D val="0"/>
            <c:spPr>
              <a:solidFill>
                <a:schemeClr val="accent4">
                  <a:lumMod val="70000"/>
                  <a:lumOff val="30000"/>
                </a:schemeClr>
              </a:solidFill>
              <a:ln>
                <a:noFill/>
              </a:ln>
              <a:effectLst/>
            </c:spPr>
          </c:dPt>
          <c:dPt>
            <c:idx val="256"/>
            <c:bubble3D val="0"/>
            <c:spPr>
              <a:solidFill>
                <a:schemeClr val="accent5">
                  <a:lumMod val="70000"/>
                  <a:lumOff val="30000"/>
                </a:schemeClr>
              </a:solidFill>
              <a:ln>
                <a:noFill/>
              </a:ln>
              <a:effectLst/>
            </c:spPr>
          </c:dPt>
          <c:dPt>
            <c:idx val="257"/>
            <c:bubble3D val="0"/>
            <c:spPr>
              <a:solidFill>
                <a:schemeClr val="accent6">
                  <a:lumMod val="70000"/>
                  <a:lumOff val="30000"/>
                </a:schemeClr>
              </a:solidFill>
              <a:ln>
                <a:noFill/>
              </a:ln>
              <a:effectLst/>
            </c:spPr>
          </c:dPt>
          <c:dPt>
            <c:idx val="258"/>
            <c:bubble3D val="0"/>
            <c:spPr>
              <a:solidFill>
                <a:schemeClr val="accent1">
                  <a:lumMod val="70000"/>
                </a:schemeClr>
              </a:solidFill>
              <a:ln>
                <a:noFill/>
              </a:ln>
              <a:effectLst/>
            </c:spPr>
          </c:dPt>
          <c:dPt>
            <c:idx val="259"/>
            <c:bubble3D val="0"/>
            <c:spPr>
              <a:solidFill>
                <a:schemeClr val="accent2">
                  <a:lumMod val="70000"/>
                </a:schemeClr>
              </a:solidFill>
              <a:ln>
                <a:noFill/>
              </a:ln>
              <a:effectLst/>
            </c:spPr>
          </c:dPt>
          <c:dPt>
            <c:idx val="260"/>
            <c:bubble3D val="0"/>
            <c:spPr>
              <a:solidFill>
                <a:schemeClr val="accent3">
                  <a:lumMod val="70000"/>
                </a:schemeClr>
              </a:solidFill>
              <a:ln>
                <a:noFill/>
              </a:ln>
              <a:effectLst/>
            </c:spPr>
          </c:dPt>
          <c:dPt>
            <c:idx val="261"/>
            <c:bubble3D val="0"/>
            <c:spPr>
              <a:solidFill>
                <a:schemeClr val="accent4">
                  <a:lumMod val="70000"/>
                </a:schemeClr>
              </a:solidFill>
              <a:ln>
                <a:noFill/>
              </a:ln>
              <a:effectLst/>
            </c:spPr>
          </c:dPt>
          <c:dPt>
            <c:idx val="262"/>
            <c:bubble3D val="0"/>
            <c:spPr>
              <a:solidFill>
                <a:schemeClr val="accent5">
                  <a:lumMod val="70000"/>
                </a:schemeClr>
              </a:solidFill>
              <a:ln>
                <a:noFill/>
              </a:ln>
              <a:effectLst/>
            </c:spPr>
          </c:dPt>
          <c:dPt>
            <c:idx val="263"/>
            <c:bubble3D val="0"/>
            <c:spPr>
              <a:solidFill>
                <a:schemeClr val="accent6">
                  <a:lumMod val="70000"/>
                </a:schemeClr>
              </a:solidFill>
              <a:ln>
                <a:noFill/>
              </a:ln>
              <a:effectLst/>
            </c:spPr>
          </c:dPt>
          <c:dPt>
            <c:idx val="264"/>
            <c:bubble3D val="0"/>
            <c:spPr>
              <a:solidFill>
                <a:schemeClr val="accent1">
                  <a:lumMod val="50000"/>
                  <a:lumOff val="50000"/>
                </a:schemeClr>
              </a:solidFill>
              <a:ln>
                <a:noFill/>
              </a:ln>
              <a:effectLst/>
            </c:spPr>
          </c:dPt>
          <c:dPt>
            <c:idx val="265"/>
            <c:bubble3D val="0"/>
            <c:spPr>
              <a:solidFill>
                <a:schemeClr val="accent2">
                  <a:lumMod val="50000"/>
                  <a:lumOff val="50000"/>
                </a:schemeClr>
              </a:solidFill>
              <a:ln>
                <a:noFill/>
              </a:ln>
              <a:effectLst/>
            </c:spPr>
          </c:dPt>
          <c:dPt>
            <c:idx val="266"/>
            <c:bubble3D val="0"/>
            <c:spPr>
              <a:solidFill>
                <a:schemeClr val="accent3">
                  <a:lumMod val="50000"/>
                  <a:lumOff val="50000"/>
                </a:schemeClr>
              </a:solidFill>
              <a:ln>
                <a:noFill/>
              </a:ln>
              <a:effectLst/>
            </c:spPr>
          </c:dPt>
          <c:dPt>
            <c:idx val="267"/>
            <c:bubble3D val="0"/>
            <c:spPr>
              <a:solidFill>
                <a:schemeClr val="accent4">
                  <a:lumMod val="50000"/>
                  <a:lumOff val="50000"/>
                </a:schemeClr>
              </a:solidFill>
              <a:ln>
                <a:noFill/>
              </a:ln>
              <a:effectLst/>
            </c:spPr>
          </c:dPt>
          <c:dPt>
            <c:idx val="268"/>
            <c:bubble3D val="0"/>
            <c:spPr>
              <a:solidFill>
                <a:schemeClr val="accent5">
                  <a:lumMod val="50000"/>
                  <a:lumOff val="50000"/>
                </a:schemeClr>
              </a:solidFill>
              <a:ln>
                <a:noFill/>
              </a:ln>
              <a:effectLst/>
            </c:spPr>
          </c:dPt>
          <c:dPt>
            <c:idx val="269"/>
            <c:bubble3D val="0"/>
            <c:spPr>
              <a:solidFill>
                <a:schemeClr val="accent6">
                  <a:lumMod val="50000"/>
                  <a:lumOff val="50000"/>
                </a:schemeClr>
              </a:solidFill>
              <a:ln>
                <a:noFill/>
              </a:ln>
              <a:effectLst/>
            </c:spPr>
          </c:dPt>
          <c:dPt>
            <c:idx val="270"/>
            <c:bubble3D val="0"/>
            <c:spPr>
              <a:solidFill>
                <a:schemeClr val="accent1"/>
              </a:solidFill>
              <a:ln>
                <a:noFill/>
              </a:ln>
              <a:effectLst/>
            </c:spPr>
          </c:dPt>
          <c:dPt>
            <c:idx val="271"/>
            <c:bubble3D val="0"/>
            <c:spPr>
              <a:solidFill>
                <a:schemeClr val="accent2"/>
              </a:solidFill>
              <a:ln>
                <a:noFill/>
              </a:ln>
              <a:effectLst/>
            </c:spPr>
          </c:dPt>
          <c:dPt>
            <c:idx val="272"/>
            <c:bubble3D val="0"/>
            <c:spPr>
              <a:solidFill>
                <a:schemeClr val="accent3"/>
              </a:solidFill>
              <a:ln>
                <a:noFill/>
              </a:ln>
              <a:effectLst/>
            </c:spPr>
          </c:dPt>
          <c:dPt>
            <c:idx val="273"/>
            <c:bubble3D val="0"/>
            <c:spPr>
              <a:solidFill>
                <a:schemeClr val="accent4"/>
              </a:solidFill>
              <a:ln>
                <a:noFill/>
              </a:ln>
              <a:effectLst/>
            </c:spPr>
          </c:dPt>
          <c:dPt>
            <c:idx val="274"/>
            <c:bubble3D val="0"/>
            <c:spPr>
              <a:solidFill>
                <a:schemeClr val="accent5"/>
              </a:solidFill>
              <a:ln>
                <a:noFill/>
              </a:ln>
              <a:effectLst/>
            </c:spPr>
          </c:dPt>
          <c:dPt>
            <c:idx val="275"/>
            <c:bubble3D val="0"/>
            <c:spPr>
              <a:solidFill>
                <a:schemeClr val="accent6"/>
              </a:solidFill>
              <a:ln>
                <a:noFill/>
              </a:ln>
              <a:effectLst/>
            </c:spPr>
          </c:dPt>
          <c:dPt>
            <c:idx val="276"/>
            <c:bubble3D val="0"/>
            <c:spPr>
              <a:solidFill>
                <a:schemeClr val="accent1">
                  <a:lumMod val="60000"/>
                </a:schemeClr>
              </a:solidFill>
              <a:ln>
                <a:noFill/>
              </a:ln>
              <a:effectLst/>
            </c:spPr>
          </c:dPt>
          <c:dPt>
            <c:idx val="277"/>
            <c:bubble3D val="0"/>
            <c:spPr>
              <a:solidFill>
                <a:schemeClr val="accent2">
                  <a:lumMod val="60000"/>
                </a:schemeClr>
              </a:solidFill>
              <a:ln>
                <a:noFill/>
              </a:ln>
              <a:effectLst/>
            </c:spPr>
          </c:dPt>
          <c:dPt>
            <c:idx val="278"/>
            <c:bubble3D val="0"/>
            <c:spPr>
              <a:solidFill>
                <a:schemeClr val="accent3">
                  <a:lumMod val="60000"/>
                </a:schemeClr>
              </a:solidFill>
              <a:ln>
                <a:noFill/>
              </a:ln>
              <a:effectLst/>
            </c:spPr>
          </c:dPt>
          <c:dPt>
            <c:idx val="279"/>
            <c:bubble3D val="0"/>
            <c:spPr>
              <a:solidFill>
                <a:schemeClr val="accent4">
                  <a:lumMod val="60000"/>
                </a:schemeClr>
              </a:solidFill>
              <a:ln>
                <a:noFill/>
              </a:ln>
              <a:effectLst/>
            </c:spPr>
          </c:dPt>
          <c:dPt>
            <c:idx val="280"/>
            <c:bubble3D val="0"/>
            <c:spPr>
              <a:solidFill>
                <a:schemeClr val="accent5">
                  <a:lumMod val="60000"/>
                </a:schemeClr>
              </a:solidFill>
              <a:ln>
                <a:noFill/>
              </a:ln>
              <a:effectLst/>
            </c:spPr>
          </c:dPt>
          <c:dPt>
            <c:idx val="281"/>
            <c:bubble3D val="0"/>
            <c:spPr>
              <a:solidFill>
                <a:schemeClr val="accent6">
                  <a:lumMod val="60000"/>
                </a:schemeClr>
              </a:solidFill>
              <a:ln>
                <a:noFill/>
              </a:ln>
              <a:effectLst/>
            </c:spPr>
          </c:dPt>
          <c:dPt>
            <c:idx val="282"/>
            <c:bubble3D val="0"/>
            <c:spPr>
              <a:solidFill>
                <a:schemeClr val="accent1">
                  <a:lumMod val="80000"/>
                  <a:lumOff val="20000"/>
                </a:schemeClr>
              </a:solidFill>
              <a:ln>
                <a:noFill/>
              </a:ln>
              <a:effectLst/>
            </c:spPr>
          </c:dPt>
          <c:dPt>
            <c:idx val="283"/>
            <c:bubble3D val="0"/>
            <c:spPr>
              <a:solidFill>
                <a:schemeClr val="accent2">
                  <a:lumMod val="80000"/>
                  <a:lumOff val="20000"/>
                </a:schemeClr>
              </a:solidFill>
              <a:ln>
                <a:noFill/>
              </a:ln>
              <a:effectLst/>
            </c:spPr>
          </c:dPt>
          <c:dPt>
            <c:idx val="284"/>
            <c:bubble3D val="0"/>
            <c:spPr>
              <a:solidFill>
                <a:schemeClr val="accent3">
                  <a:lumMod val="80000"/>
                  <a:lumOff val="20000"/>
                </a:schemeClr>
              </a:solidFill>
              <a:ln>
                <a:noFill/>
              </a:ln>
              <a:effectLst/>
            </c:spPr>
          </c:dPt>
          <c:dPt>
            <c:idx val="285"/>
            <c:bubble3D val="0"/>
            <c:spPr>
              <a:solidFill>
                <a:schemeClr val="accent4">
                  <a:lumMod val="80000"/>
                  <a:lumOff val="20000"/>
                </a:schemeClr>
              </a:solidFill>
              <a:ln>
                <a:noFill/>
              </a:ln>
              <a:effectLst/>
            </c:spPr>
          </c:dPt>
          <c:dPt>
            <c:idx val="286"/>
            <c:bubble3D val="0"/>
            <c:spPr>
              <a:solidFill>
                <a:schemeClr val="accent5">
                  <a:lumMod val="80000"/>
                  <a:lumOff val="20000"/>
                </a:schemeClr>
              </a:solidFill>
              <a:ln>
                <a:noFill/>
              </a:ln>
              <a:effectLst/>
            </c:spPr>
          </c:dPt>
          <c:dPt>
            <c:idx val="287"/>
            <c:bubble3D val="0"/>
            <c:spPr>
              <a:solidFill>
                <a:schemeClr val="accent6">
                  <a:lumMod val="80000"/>
                  <a:lumOff val="20000"/>
                </a:schemeClr>
              </a:solidFill>
              <a:ln>
                <a:noFill/>
              </a:ln>
              <a:effectLst/>
            </c:spPr>
          </c:dPt>
          <c:dPt>
            <c:idx val="288"/>
            <c:bubble3D val="0"/>
            <c:spPr>
              <a:solidFill>
                <a:schemeClr val="accent1">
                  <a:lumMod val="80000"/>
                </a:schemeClr>
              </a:solidFill>
              <a:ln>
                <a:noFill/>
              </a:ln>
              <a:effectLst/>
            </c:spPr>
          </c:dPt>
          <c:dPt>
            <c:idx val="289"/>
            <c:bubble3D val="0"/>
            <c:spPr>
              <a:solidFill>
                <a:schemeClr val="accent2">
                  <a:lumMod val="80000"/>
                </a:schemeClr>
              </a:solidFill>
              <a:ln>
                <a:noFill/>
              </a:ln>
              <a:effectLst/>
            </c:spPr>
          </c:dPt>
          <c:dPt>
            <c:idx val="290"/>
            <c:bubble3D val="0"/>
            <c:spPr>
              <a:solidFill>
                <a:schemeClr val="accent3">
                  <a:lumMod val="80000"/>
                </a:schemeClr>
              </a:solidFill>
              <a:ln>
                <a:noFill/>
              </a:ln>
              <a:effectLst/>
            </c:spPr>
          </c:dPt>
          <c:dPt>
            <c:idx val="291"/>
            <c:bubble3D val="0"/>
            <c:spPr>
              <a:solidFill>
                <a:schemeClr val="accent4">
                  <a:lumMod val="80000"/>
                </a:schemeClr>
              </a:solidFill>
              <a:ln>
                <a:noFill/>
              </a:ln>
              <a:effectLst/>
            </c:spPr>
          </c:dPt>
          <c:dPt>
            <c:idx val="292"/>
            <c:bubble3D val="0"/>
            <c:spPr>
              <a:solidFill>
                <a:schemeClr val="accent5">
                  <a:lumMod val="80000"/>
                </a:schemeClr>
              </a:solidFill>
              <a:ln>
                <a:noFill/>
              </a:ln>
              <a:effectLst/>
            </c:spPr>
          </c:dPt>
          <c:dPt>
            <c:idx val="293"/>
            <c:bubble3D val="0"/>
            <c:spPr>
              <a:solidFill>
                <a:schemeClr val="accent6">
                  <a:lumMod val="80000"/>
                </a:schemeClr>
              </a:solidFill>
              <a:ln>
                <a:noFill/>
              </a:ln>
              <a:effectLst/>
            </c:spPr>
          </c:dPt>
          <c:dPt>
            <c:idx val="294"/>
            <c:bubble3D val="0"/>
            <c:spPr>
              <a:solidFill>
                <a:schemeClr val="accent1">
                  <a:lumMod val="60000"/>
                  <a:lumOff val="40000"/>
                </a:schemeClr>
              </a:solidFill>
              <a:ln>
                <a:noFill/>
              </a:ln>
              <a:effectLst/>
            </c:spPr>
          </c:dPt>
          <c:dPt>
            <c:idx val="295"/>
            <c:bubble3D val="0"/>
            <c:spPr>
              <a:solidFill>
                <a:schemeClr val="accent2">
                  <a:lumMod val="60000"/>
                  <a:lumOff val="40000"/>
                </a:schemeClr>
              </a:solidFill>
              <a:ln>
                <a:noFill/>
              </a:ln>
              <a:effectLst/>
            </c:spPr>
          </c:dPt>
          <c:dPt>
            <c:idx val="296"/>
            <c:bubble3D val="0"/>
            <c:spPr>
              <a:solidFill>
                <a:schemeClr val="accent3">
                  <a:lumMod val="60000"/>
                  <a:lumOff val="40000"/>
                </a:schemeClr>
              </a:solidFill>
              <a:ln>
                <a:noFill/>
              </a:ln>
              <a:effectLst/>
            </c:spPr>
          </c:dPt>
          <c:dPt>
            <c:idx val="297"/>
            <c:bubble3D val="0"/>
            <c:spPr>
              <a:solidFill>
                <a:schemeClr val="accent4">
                  <a:lumMod val="60000"/>
                  <a:lumOff val="40000"/>
                </a:schemeClr>
              </a:solidFill>
              <a:ln>
                <a:noFill/>
              </a:ln>
              <a:effectLst/>
            </c:spPr>
          </c:dPt>
          <c:dPt>
            <c:idx val="298"/>
            <c:bubble3D val="0"/>
            <c:spPr>
              <a:solidFill>
                <a:schemeClr val="accent5">
                  <a:lumMod val="60000"/>
                  <a:lumOff val="40000"/>
                </a:schemeClr>
              </a:solidFill>
              <a:ln>
                <a:noFill/>
              </a:ln>
              <a:effectLst/>
            </c:spPr>
          </c:dPt>
          <c:dPt>
            <c:idx val="299"/>
            <c:bubble3D val="0"/>
            <c:spPr>
              <a:solidFill>
                <a:schemeClr val="accent6">
                  <a:lumMod val="60000"/>
                  <a:lumOff val="40000"/>
                </a:schemeClr>
              </a:solidFill>
              <a:ln>
                <a:noFill/>
              </a:ln>
              <a:effectLst/>
            </c:spPr>
          </c:dPt>
          <c:dPt>
            <c:idx val="300"/>
            <c:bubble3D val="0"/>
            <c:spPr>
              <a:solidFill>
                <a:schemeClr val="accent1">
                  <a:lumMod val="50000"/>
                </a:schemeClr>
              </a:solidFill>
              <a:ln>
                <a:noFill/>
              </a:ln>
              <a:effectLst/>
            </c:spPr>
          </c:dPt>
          <c:dPt>
            <c:idx val="301"/>
            <c:bubble3D val="0"/>
            <c:spPr>
              <a:solidFill>
                <a:schemeClr val="accent2">
                  <a:lumMod val="50000"/>
                </a:schemeClr>
              </a:solidFill>
              <a:ln>
                <a:noFill/>
              </a:ln>
              <a:effectLst/>
            </c:spPr>
          </c:dPt>
          <c:dPt>
            <c:idx val="302"/>
            <c:bubble3D val="0"/>
            <c:spPr>
              <a:solidFill>
                <a:schemeClr val="accent3">
                  <a:lumMod val="50000"/>
                </a:schemeClr>
              </a:solidFill>
              <a:ln>
                <a:noFill/>
              </a:ln>
              <a:effectLst/>
            </c:spPr>
          </c:dPt>
          <c:dPt>
            <c:idx val="303"/>
            <c:bubble3D val="0"/>
            <c:spPr>
              <a:solidFill>
                <a:schemeClr val="accent4">
                  <a:lumMod val="50000"/>
                </a:schemeClr>
              </a:solidFill>
              <a:ln>
                <a:noFill/>
              </a:ln>
              <a:effectLst/>
            </c:spPr>
          </c:dPt>
          <c:dPt>
            <c:idx val="304"/>
            <c:bubble3D val="0"/>
            <c:spPr>
              <a:solidFill>
                <a:schemeClr val="accent5">
                  <a:lumMod val="50000"/>
                </a:schemeClr>
              </a:solidFill>
              <a:ln>
                <a:noFill/>
              </a:ln>
              <a:effectLst/>
            </c:spPr>
          </c:dPt>
          <c:dPt>
            <c:idx val="305"/>
            <c:bubble3D val="0"/>
            <c:spPr>
              <a:solidFill>
                <a:schemeClr val="accent6">
                  <a:lumMod val="50000"/>
                </a:schemeClr>
              </a:solidFill>
              <a:ln>
                <a:noFill/>
              </a:ln>
              <a:effectLst/>
            </c:spPr>
          </c:dPt>
          <c:dPt>
            <c:idx val="306"/>
            <c:bubble3D val="0"/>
            <c:spPr>
              <a:solidFill>
                <a:schemeClr val="accent1">
                  <a:lumMod val="70000"/>
                  <a:lumOff val="30000"/>
                </a:schemeClr>
              </a:solidFill>
              <a:ln>
                <a:noFill/>
              </a:ln>
              <a:effectLst/>
            </c:spPr>
          </c:dPt>
          <c:dPt>
            <c:idx val="307"/>
            <c:bubble3D val="0"/>
            <c:spPr>
              <a:solidFill>
                <a:schemeClr val="accent2">
                  <a:lumMod val="70000"/>
                  <a:lumOff val="30000"/>
                </a:schemeClr>
              </a:solidFill>
              <a:ln>
                <a:noFill/>
              </a:ln>
              <a:effectLst/>
            </c:spPr>
          </c:dPt>
          <c:dPt>
            <c:idx val="308"/>
            <c:bubble3D val="0"/>
            <c:spPr>
              <a:solidFill>
                <a:schemeClr val="accent3">
                  <a:lumMod val="70000"/>
                  <a:lumOff val="30000"/>
                </a:schemeClr>
              </a:solidFill>
              <a:ln>
                <a:noFill/>
              </a:ln>
              <a:effectLst/>
            </c:spPr>
          </c:dPt>
          <c:dPt>
            <c:idx val="309"/>
            <c:bubble3D val="0"/>
            <c:spPr>
              <a:solidFill>
                <a:schemeClr val="accent4">
                  <a:lumMod val="70000"/>
                  <a:lumOff val="30000"/>
                </a:schemeClr>
              </a:solidFill>
              <a:ln>
                <a:noFill/>
              </a:ln>
              <a:effectLst/>
            </c:spPr>
          </c:dPt>
          <c:dPt>
            <c:idx val="310"/>
            <c:bubble3D val="0"/>
            <c:spPr>
              <a:solidFill>
                <a:schemeClr val="accent5">
                  <a:lumMod val="70000"/>
                  <a:lumOff val="30000"/>
                </a:schemeClr>
              </a:solidFill>
              <a:ln>
                <a:noFill/>
              </a:ln>
              <a:effectLst/>
            </c:spPr>
          </c:dPt>
          <c:dPt>
            <c:idx val="311"/>
            <c:bubble3D val="0"/>
            <c:spPr>
              <a:solidFill>
                <a:schemeClr val="accent6">
                  <a:lumMod val="70000"/>
                  <a:lumOff val="30000"/>
                </a:schemeClr>
              </a:solidFill>
              <a:ln>
                <a:noFill/>
              </a:ln>
              <a:effectLst/>
            </c:spPr>
          </c:dPt>
          <c:dPt>
            <c:idx val="312"/>
            <c:bubble3D val="0"/>
            <c:spPr>
              <a:solidFill>
                <a:schemeClr val="accent1">
                  <a:lumMod val="70000"/>
                </a:schemeClr>
              </a:solidFill>
              <a:ln>
                <a:noFill/>
              </a:ln>
              <a:effectLst/>
            </c:spPr>
          </c:dPt>
          <c:dPt>
            <c:idx val="313"/>
            <c:bubble3D val="0"/>
            <c:spPr>
              <a:solidFill>
                <a:schemeClr val="accent2">
                  <a:lumMod val="70000"/>
                </a:schemeClr>
              </a:solidFill>
              <a:ln>
                <a:noFill/>
              </a:ln>
              <a:effectLst/>
            </c:spPr>
          </c:dPt>
          <c:dPt>
            <c:idx val="314"/>
            <c:bubble3D val="0"/>
            <c:spPr>
              <a:solidFill>
                <a:schemeClr val="accent3">
                  <a:lumMod val="70000"/>
                </a:schemeClr>
              </a:solidFill>
              <a:ln>
                <a:noFill/>
              </a:ln>
              <a:effectLst/>
            </c:spPr>
          </c:dPt>
          <c:dPt>
            <c:idx val="315"/>
            <c:bubble3D val="0"/>
            <c:spPr>
              <a:solidFill>
                <a:schemeClr val="accent4">
                  <a:lumMod val="70000"/>
                </a:schemeClr>
              </a:solidFill>
              <a:ln>
                <a:noFill/>
              </a:ln>
              <a:effectLst/>
            </c:spPr>
          </c:dPt>
          <c:dPt>
            <c:idx val="316"/>
            <c:bubble3D val="0"/>
            <c:spPr>
              <a:solidFill>
                <a:schemeClr val="accent5">
                  <a:lumMod val="70000"/>
                </a:schemeClr>
              </a:solidFill>
              <a:ln>
                <a:noFill/>
              </a:ln>
              <a:effectLst/>
            </c:spPr>
          </c:dPt>
          <c:dPt>
            <c:idx val="317"/>
            <c:bubble3D val="0"/>
            <c:spPr>
              <a:solidFill>
                <a:schemeClr val="accent6">
                  <a:lumMod val="70000"/>
                </a:schemeClr>
              </a:solidFill>
              <a:ln>
                <a:noFill/>
              </a:ln>
              <a:effectLst/>
            </c:spPr>
          </c:dPt>
          <c:dPt>
            <c:idx val="318"/>
            <c:bubble3D val="0"/>
            <c:spPr>
              <a:solidFill>
                <a:schemeClr val="accent1">
                  <a:lumMod val="50000"/>
                  <a:lumOff val="50000"/>
                </a:schemeClr>
              </a:solidFill>
              <a:ln>
                <a:noFill/>
              </a:ln>
              <a:effectLst/>
            </c:spPr>
          </c:dPt>
          <c:dPt>
            <c:idx val="319"/>
            <c:bubble3D val="0"/>
            <c:spPr>
              <a:solidFill>
                <a:schemeClr val="accent2">
                  <a:lumMod val="50000"/>
                  <a:lumOff val="50000"/>
                </a:schemeClr>
              </a:solidFill>
              <a:ln>
                <a:noFill/>
              </a:ln>
              <a:effectLst/>
            </c:spPr>
          </c:dPt>
          <c:dPt>
            <c:idx val="320"/>
            <c:bubble3D val="0"/>
            <c:spPr>
              <a:solidFill>
                <a:schemeClr val="accent3">
                  <a:lumMod val="50000"/>
                  <a:lumOff val="50000"/>
                </a:schemeClr>
              </a:solidFill>
              <a:ln>
                <a:noFill/>
              </a:ln>
              <a:effectLst/>
            </c:spPr>
          </c:dPt>
          <c:dPt>
            <c:idx val="321"/>
            <c:bubble3D val="0"/>
            <c:spPr>
              <a:solidFill>
                <a:schemeClr val="accent4">
                  <a:lumMod val="50000"/>
                  <a:lumOff val="50000"/>
                </a:schemeClr>
              </a:solidFill>
              <a:ln>
                <a:noFill/>
              </a:ln>
              <a:effectLst/>
            </c:spPr>
          </c:dPt>
          <c:dPt>
            <c:idx val="322"/>
            <c:bubble3D val="0"/>
            <c:spPr>
              <a:solidFill>
                <a:schemeClr val="accent5">
                  <a:lumMod val="50000"/>
                  <a:lumOff val="50000"/>
                </a:schemeClr>
              </a:solidFill>
              <a:ln>
                <a:noFill/>
              </a:ln>
              <a:effectLst/>
            </c:spPr>
          </c:dPt>
          <c:dPt>
            <c:idx val="323"/>
            <c:bubble3D val="0"/>
            <c:spPr>
              <a:solidFill>
                <a:schemeClr val="accent6">
                  <a:lumMod val="50000"/>
                  <a:lumOff val="50000"/>
                </a:schemeClr>
              </a:solidFill>
              <a:ln>
                <a:noFill/>
              </a:ln>
              <a:effectLst/>
            </c:spPr>
          </c:dPt>
          <c:dPt>
            <c:idx val="324"/>
            <c:bubble3D val="0"/>
            <c:spPr>
              <a:solidFill>
                <a:schemeClr val="accent1"/>
              </a:solidFill>
              <a:ln>
                <a:noFill/>
              </a:ln>
              <a:effectLst/>
            </c:spPr>
          </c:dPt>
          <c:dPt>
            <c:idx val="325"/>
            <c:bubble3D val="0"/>
            <c:spPr>
              <a:solidFill>
                <a:schemeClr val="accent2"/>
              </a:solidFill>
              <a:ln>
                <a:noFill/>
              </a:ln>
              <a:effectLst/>
            </c:spPr>
          </c:dPt>
          <c:dPt>
            <c:idx val="326"/>
            <c:bubble3D val="0"/>
            <c:spPr>
              <a:solidFill>
                <a:schemeClr val="accent3"/>
              </a:solidFill>
              <a:ln>
                <a:noFill/>
              </a:ln>
              <a:effectLst/>
            </c:spPr>
          </c:dPt>
          <c:dPt>
            <c:idx val="327"/>
            <c:bubble3D val="0"/>
            <c:spPr>
              <a:solidFill>
                <a:schemeClr val="accent4"/>
              </a:solidFill>
              <a:ln>
                <a:noFill/>
              </a:ln>
              <a:effectLst/>
            </c:spPr>
          </c:dPt>
          <c:dPt>
            <c:idx val="328"/>
            <c:bubble3D val="0"/>
            <c:spPr>
              <a:solidFill>
                <a:schemeClr val="accent5"/>
              </a:solidFill>
              <a:ln>
                <a:noFill/>
              </a:ln>
              <a:effectLst/>
            </c:spPr>
          </c:dPt>
          <c:dPt>
            <c:idx val="329"/>
            <c:bubble3D val="0"/>
            <c:spPr>
              <a:solidFill>
                <a:schemeClr val="accent6"/>
              </a:solidFill>
              <a:ln>
                <a:noFill/>
              </a:ln>
              <a:effectLst/>
            </c:spPr>
          </c:dPt>
          <c:dPt>
            <c:idx val="330"/>
            <c:bubble3D val="0"/>
            <c:spPr>
              <a:solidFill>
                <a:schemeClr val="accent1">
                  <a:lumMod val="60000"/>
                </a:schemeClr>
              </a:solidFill>
              <a:ln>
                <a:noFill/>
              </a:ln>
              <a:effectLst/>
            </c:spPr>
          </c:dPt>
          <c:dPt>
            <c:idx val="331"/>
            <c:bubble3D val="0"/>
            <c:spPr>
              <a:solidFill>
                <a:schemeClr val="accent2">
                  <a:lumMod val="60000"/>
                </a:schemeClr>
              </a:solidFill>
              <a:ln>
                <a:noFill/>
              </a:ln>
              <a:effectLst/>
            </c:spPr>
          </c:dPt>
          <c:dPt>
            <c:idx val="332"/>
            <c:bubble3D val="0"/>
            <c:spPr>
              <a:solidFill>
                <a:schemeClr val="accent3">
                  <a:lumMod val="60000"/>
                </a:schemeClr>
              </a:solidFill>
              <a:ln>
                <a:noFill/>
              </a:ln>
              <a:effectLst/>
            </c:spPr>
          </c:dPt>
          <c:dPt>
            <c:idx val="333"/>
            <c:bubble3D val="0"/>
            <c:spPr>
              <a:solidFill>
                <a:schemeClr val="accent4">
                  <a:lumMod val="60000"/>
                </a:schemeClr>
              </a:solidFill>
              <a:ln>
                <a:noFill/>
              </a:ln>
              <a:effectLst/>
            </c:spPr>
          </c:dPt>
          <c:dPt>
            <c:idx val="334"/>
            <c:bubble3D val="0"/>
            <c:spPr>
              <a:solidFill>
                <a:schemeClr val="accent5">
                  <a:lumMod val="60000"/>
                </a:schemeClr>
              </a:solidFill>
              <a:ln>
                <a:noFill/>
              </a:ln>
              <a:effectLst/>
            </c:spPr>
          </c:dPt>
          <c:dPt>
            <c:idx val="335"/>
            <c:bubble3D val="0"/>
            <c:spPr>
              <a:solidFill>
                <a:schemeClr val="accent6">
                  <a:lumMod val="60000"/>
                </a:schemeClr>
              </a:solidFill>
              <a:ln>
                <a:noFill/>
              </a:ln>
              <a:effectLst/>
            </c:spPr>
          </c:dPt>
          <c:dPt>
            <c:idx val="336"/>
            <c:bubble3D val="0"/>
            <c:spPr>
              <a:solidFill>
                <a:schemeClr val="accent1">
                  <a:lumMod val="80000"/>
                  <a:lumOff val="20000"/>
                </a:schemeClr>
              </a:solidFill>
              <a:ln>
                <a:noFill/>
              </a:ln>
              <a:effectLst/>
            </c:spPr>
          </c:dPt>
          <c:dPt>
            <c:idx val="337"/>
            <c:bubble3D val="0"/>
            <c:spPr>
              <a:solidFill>
                <a:schemeClr val="accent2">
                  <a:lumMod val="80000"/>
                  <a:lumOff val="20000"/>
                </a:schemeClr>
              </a:solidFill>
              <a:ln>
                <a:noFill/>
              </a:ln>
              <a:effectLst/>
            </c:spPr>
          </c:dPt>
          <c:dPt>
            <c:idx val="338"/>
            <c:bubble3D val="0"/>
            <c:spPr>
              <a:solidFill>
                <a:schemeClr val="accent3">
                  <a:lumMod val="80000"/>
                  <a:lumOff val="20000"/>
                </a:schemeClr>
              </a:solidFill>
              <a:ln>
                <a:noFill/>
              </a:ln>
              <a:effectLst/>
            </c:spPr>
          </c:dPt>
          <c:dPt>
            <c:idx val="339"/>
            <c:bubble3D val="0"/>
            <c:spPr>
              <a:solidFill>
                <a:schemeClr val="accent4">
                  <a:lumMod val="80000"/>
                  <a:lumOff val="20000"/>
                </a:schemeClr>
              </a:solidFill>
              <a:ln>
                <a:noFill/>
              </a:ln>
              <a:effectLst/>
            </c:spPr>
          </c:dPt>
          <c:dPt>
            <c:idx val="340"/>
            <c:bubble3D val="0"/>
            <c:spPr>
              <a:solidFill>
                <a:schemeClr val="accent5">
                  <a:lumMod val="80000"/>
                  <a:lumOff val="20000"/>
                </a:schemeClr>
              </a:solidFill>
              <a:ln>
                <a:noFill/>
              </a:ln>
              <a:effectLst/>
            </c:spPr>
          </c:dPt>
          <c:dPt>
            <c:idx val="341"/>
            <c:bubble3D val="0"/>
            <c:spPr>
              <a:solidFill>
                <a:schemeClr val="accent6">
                  <a:lumMod val="80000"/>
                  <a:lumOff val="20000"/>
                </a:schemeClr>
              </a:solidFill>
              <a:ln>
                <a:noFill/>
              </a:ln>
              <a:effectLst/>
            </c:spPr>
          </c:dPt>
          <c:dPt>
            <c:idx val="342"/>
            <c:bubble3D val="0"/>
            <c:spPr>
              <a:solidFill>
                <a:schemeClr val="accent1">
                  <a:lumMod val="80000"/>
                </a:schemeClr>
              </a:solidFill>
              <a:ln>
                <a:noFill/>
              </a:ln>
              <a:effectLst/>
            </c:spPr>
          </c:dPt>
          <c:dPt>
            <c:idx val="343"/>
            <c:bubble3D val="0"/>
            <c:spPr>
              <a:solidFill>
                <a:schemeClr val="accent2">
                  <a:lumMod val="80000"/>
                </a:schemeClr>
              </a:solidFill>
              <a:ln>
                <a:noFill/>
              </a:ln>
              <a:effectLst/>
            </c:spPr>
          </c:dPt>
          <c:dPt>
            <c:idx val="344"/>
            <c:bubble3D val="0"/>
            <c:spPr>
              <a:solidFill>
                <a:schemeClr val="accent3">
                  <a:lumMod val="80000"/>
                </a:schemeClr>
              </a:solidFill>
              <a:ln>
                <a:noFill/>
              </a:ln>
              <a:effectLst/>
            </c:spPr>
          </c:dPt>
          <c:dPt>
            <c:idx val="345"/>
            <c:bubble3D val="0"/>
            <c:spPr>
              <a:solidFill>
                <a:schemeClr val="accent4">
                  <a:lumMod val="80000"/>
                </a:schemeClr>
              </a:solidFill>
              <a:ln>
                <a:noFill/>
              </a:ln>
              <a:effectLst/>
            </c:spPr>
          </c:dPt>
          <c:dPt>
            <c:idx val="346"/>
            <c:bubble3D val="0"/>
            <c:spPr>
              <a:solidFill>
                <a:schemeClr val="accent5">
                  <a:lumMod val="80000"/>
                </a:schemeClr>
              </a:solidFill>
              <a:ln>
                <a:noFill/>
              </a:ln>
              <a:effectLst/>
            </c:spPr>
          </c:dPt>
          <c:dPt>
            <c:idx val="347"/>
            <c:bubble3D val="0"/>
            <c:spPr>
              <a:solidFill>
                <a:schemeClr val="accent6">
                  <a:lumMod val="80000"/>
                </a:schemeClr>
              </a:solidFill>
              <a:ln>
                <a:noFill/>
              </a:ln>
              <a:effectLst/>
            </c:spPr>
          </c:dPt>
          <c:dPt>
            <c:idx val="348"/>
            <c:bubble3D val="0"/>
            <c:spPr>
              <a:solidFill>
                <a:schemeClr val="accent1">
                  <a:lumMod val="60000"/>
                  <a:lumOff val="40000"/>
                </a:schemeClr>
              </a:solidFill>
              <a:ln>
                <a:noFill/>
              </a:ln>
              <a:effectLst/>
            </c:spPr>
          </c:dPt>
          <c:dPt>
            <c:idx val="349"/>
            <c:bubble3D val="0"/>
            <c:spPr>
              <a:solidFill>
                <a:schemeClr val="accent2">
                  <a:lumMod val="60000"/>
                  <a:lumOff val="40000"/>
                </a:schemeClr>
              </a:solidFill>
              <a:ln>
                <a:noFill/>
              </a:ln>
              <a:effectLst/>
            </c:spPr>
          </c:dPt>
          <c:dPt>
            <c:idx val="350"/>
            <c:bubble3D val="0"/>
            <c:spPr>
              <a:solidFill>
                <a:schemeClr val="accent3">
                  <a:lumMod val="60000"/>
                  <a:lumOff val="40000"/>
                </a:schemeClr>
              </a:solidFill>
              <a:ln>
                <a:noFill/>
              </a:ln>
              <a:effectLst/>
            </c:spPr>
          </c:dPt>
          <c:dPt>
            <c:idx val="351"/>
            <c:bubble3D val="0"/>
            <c:spPr>
              <a:solidFill>
                <a:schemeClr val="accent4">
                  <a:lumMod val="60000"/>
                  <a:lumOff val="40000"/>
                </a:schemeClr>
              </a:solidFill>
              <a:ln>
                <a:noFill/>
              </a:ln>
              <a:effectLst/>
            </c:spPr>
          </c:dPt>
          <c:dPt>
            <c:idx val="352"/>
            <c:bubble3D val="0"/>
            <c:spPr>
              <a:solidFill>
                <a:schemeClr val="accent5">
                  <a:lumMod val="60000"/>
                  <a:lumOff val="40000"/>
                </a:schemeClr>
              </a:solidFill>
              <a:ln>
                <a:noFill/>
              </a:ln>
              <a:effectLst/>
            </c:spPr>
          </c:dPt>
          <c:dPt>
            <c:idx val="353"/>
            <c:bubble3D val="0"/>
            <c:spPr>
              <a:solidFill>
                <a:schemeClr val="accent6">
                  <a:lumMod val="60000"/>
                  <a:lumOff val="40000"/>
                </a:schemeClr>
              </a:solidFill>
              <a:ln>
                <a:noFill/>
              </a:ln>
              <a:effectLst/>
            </c:spPr>
          </c:dPt>
          <c:dPt>
            <c:idx val="354"/>
            <c:bubble3D val="0"/>
            <c:spPr>
              <a:solidFill>
                <a:schemeClr val="accent1">
                  <a:lumMod val="50000"/>
                </a:schemeClr>
              </a:solidFill>
              <a:ln>
                <a:noFill/>
              </a:ln>
              <a:effectLst/>
            </c:spPr>
          </c:dPt>
          <c:dPt>
            <c:idx val="355"/>
            <c:bubble3D val="0"/>
            <c:spPr>
              <a:solidFill>
                <a:schemeClr val="accent2">
                  <a:lumMod val="50000"/>
                </a:schemeClr>
              </a:solidFill>
              <a:ln>
                <a:noFill/>
              </a:ln>
              <a:effectLst/>
            </c:spPr>
          </c:dPt>
          <c:dPt>
            <c:idx val="356"/>
            <c:bubble3D val="0"/>
            <c:spPr>
              <a:solidFill>
                <a:schemeClr val="accent3">
                  <a:lumMod val="50000"/>
                </a:schemeClr>
              </a:solidFill>
              <a:ln>
                <a:noFill/>
              </a:ln>
              <a:effectLst/>
            </c:spPr>
          </c:dPt>
          <c:dPt>
            <c:idx val="357"/>
            <c:bubble3D val="0"/>
            <c:spPr>
              <a:solidFill>
                <a:schemeClr val="accent4">
                  <a:lumMod val="50000"/>
                </a:schemeClr>
              </a:solidFill>
              <a:ln>
                <a:noFill/>
              </a:ln>
              <a:effectLst/>
            </c:spPr>
          </c:dPt>
          <c:dPt>
            <c:idx val="358"/>
            <c:bubble3D val="0"/>
            <c:spPr>
              <a:solidFill>
                <a:schemeClr val="accent5">
                  <a:lumMod val="50000"/>
                </a:schemeClr>
              </a:solidFill>
              <a:ln>
                <a:noFill/>
              </a:ln>
              <a:effectLst/>
            </c:spPr>
          </c:dPt>
          <c:dPt>
            <c:idx val="359"/>
            <c:bubble3D val="0"/>
            <c:spPr>
              <a:solidFill>
                <a:schemeClr val="accent6">
                  <a:lumMod val="50000"/>
                </a:schemeClr>
              </a:solidFill>
              <a:ln>
                <a:noFill/>
              </a:ln>
              <a:effectLst/>
            </c:spPr>
          </c:dPt>
          <c:dPt>
            <c:idx val="360"/>
            <c:bubble3D val="0"/>
            <c:spPr>
              <a:solidFill>
                <a:schemeClr val="accent1">
                  <a:lumMod val="70000"/>
                  <a:lumOff val="30000"/>
                </a:schemeClr>
              </a:solidFill>
              <a:ln>
                <a:noFill/>
              </a:ln>
              <a:effectLst/>
            </c:spPr>
          </c:dPt>
          <c:dPt>
            <c:idx val="361"/>
            <c:bubble3D val="0"/>
            <c:spPr>
              <a:solidFill>
                <a:schemeClr val="accent2">
                  <a:lumMod val="70000"/>
                  <a:lumOff val="30000"/>
                </a:schemeClr>
              </a:solidFill>
              <a:ln>
                <a:noFill/>
              </a:ln>
              <a:effectLst/>
            </c:spPr>
          </c:dPt>
          <c:dPt>
            <c:idx val="362"/>
            <c:bubble3D val="0"/>
            <c:spPr>
              <a:solidFill>
                <a:schemeClr val="accent3">
                  <a:lumMod val="70000"/>
                  <a:lumOff val="30000"/>
                </a:schemeClr>
              </a:solidFill>
              <a:ln>
                <a:noFill/>
              </a:ln>
              <a:effectLst/>
            </c:spPr>
          </c:dPt>
          <c:dPt>
            <c:idx val="363"/>
            <c:bubble3D val="0"/>
            <c:spPr>
              <a:solidFill>
                <a:schemeClr val="accent4">
                  <a:lumMod val="70000"/>
                  <a:lumOff val="30000"/>
                </a:schemeClr>
              </a:solidFill>
              <a:ln>
                <a:noFill/>
              </a:ln>
              <a:effectLst/>
            </c:spPr>
          </c:dPt>
          <c:dPt>
            <c:idx val="364"/>
            <c:bubble3D val="0"/>
            <c:spPr>
              <a:solidFill>
                <a:schemeClr val="accent5">
                  <a:lumMod val="70000"/>
                  <a:lumOff val="30000"/>
                </a:schemeClr>
              </a:solidFill>
              <a:ln>
                <a:noFill/>
              </a:ln>
              <a:effectLst/>
            </c:spPr>
          </c:dPt>
          <c:dPt>
            <c:idx val="365"/>
            <c:bubble3D val="0"/>
            <c:spPr>
              <a:solidFill>
                <a:schemeClr val="accent6">
                  <a:lumMod val="70000"/>
                  <a:lumOff val="30000"/>
                </a:schemeClr>
              </a:solidFill>
              <a:ln>
                <a:noFill/>
              </a:ln>
              <a:effectLst/>
            </c:spPr>
          </c:dPt>
          <c:dPt>
            <c:idx val="366"/>
            <c:bubble3D val="0"/>
            <c:spPr>
              <a:solidFill>
                <a:schemeClr val="accent1">
                  <a:lumMod val="70000"/>
                </a:schemeClr>
              </a:solidFill>
              <a:ln>
                <a:noFill/>
              </a:ln>
              <a:effectLst/>
            </c:spPr>
          </c:dPt>
          <c:dPt>
            <c:idx val="367"/>
            <c:bubble3D val="0"/>
            <c:spPr>
              <a:solidFill>
                <a:schemeClr val="accent2">
                  <a:lumMod val="70000"/>
                </a:schemeClr>
              </a:solidFill>
              <a:ln>
                <a:noFill/>
              </a:ln>
              <a:effectLst/>
            </c:spPr>
          </c:dPt>
          <c:dPt>
            <c:idx val="368"/>
            <c:bubble3D val="0"/>
            <c:spPr>
              <a:solidFill>
                <a:schemeClr val="accent3">
                  <a:lumMod val="70000"/>
                </a:schemeClr>
              </a:solidFill>
              <a:ln>
                <a:noFill/>
              </a:ln>
              <a:effectLst/>
            </c:spPr>
          </c:dPt>
          <c:dPt>
            <c:idx val="369"/>
            <c:bubble3D val="0"/>
            <c:spPr>
              <a:solidFill>
                <a:schemeClr val="accent4">
                  <a:lumMod val="70000"/>
                </a:schemeClr>
              </a:solidFill>
              <a:ln>
                <a:noFill/>
              </a:ln>
              <a:effectLst/>
            </c:spPr>
          </c:dPt>
          <c:dPt>
            <c:idx val="370"/>
            <c:bubble3D val="0"/>
            <c:spPr>
              <a:solidFill>
                <a:schemeClr val="accent5">
                  <a:lumMod val="70000"/>
                </a:schemeClr>
              </a:solidFill>
              <a:ln>
                <a:noFill/>
              </a:ln>
              <a:effectLst/>
            </c:spPr>
          </c:dPt>
          <c:dPt>
            <c:idx val="371"/>
            <c:bubble3D val="0"/>
            <c:spPr>
              <a:solidFill>
                <a:schemeClr val="accent6">
                  <a:lumMod val="70000"/>
                </a:schemeClr>
              </a:solidFill>
              <a:ln>
                <a:noFill/>
              </a:ln>
              <a:effectLst/>
            </c:spPr>
          </c:dPt>
          <c:dPt>
            <c:idx val="372"/>
            <c:bubble3D val="0"/>
            <c:spPr>
              <a:solidFill>
                <a:schemeClr val="accent1">
                  <a:lumMod val="50000"/>
                  <a:lumOff val="50000"/>
                </a:schemeClr>
              </a:solidFill>
              <a:ln>
                <a:noFill/>
              </a:ln>
              <a:effectLst/>
            </c:spPr>
          </c:dPt>
          <c:dPt>
            <c:idx val="373"/>
            <c:bubble3D val="0"/>
            <c:spPr>
              <a:solidFill>
                <a:schemeClr val="accent2">
                  <a:lumMod val="50000"/>
                  <a:lumOff val="50000"/>
                </a:schemeClr>
              </a:solidFill>
              <a:ln>
                <a:noFill/>
              </a:ln>
              <a:effectLst/>
            </c:spPr>
          </c:dPt>
          <c:dPt>
            <c:idx val="374"/>
            <c:bubble3D val="0"/>
            <c:spPr>
              <a:solidFill>
                <a:schemeClr val="accent3">
                  <a:lumMod val="50000"/>
                  <a:lumOff val="50000"/>
                </a:schemeClr>
              </a:solidFill>
              <a:ln>
                <a:noFill/>
              </a:ln>
              <a:effectLst/>
            </c:spPr>
          </c:dPt>
          <c:dPt>
            <c:idx val="375"/>
            <c:bubble3D val="0"/>
            <c:spPr>
              <a:solidFill>
                <a:schemeClr val="accent4">
                  <a:lumMod val="50000"/>
                  <a:lumOff val="50000"/>
                </a:schemeClr>
              </a:solidFill>
              <a:ln>
                <a:noFill/>
              </a:ln>
              <a:effectLst/>
            </c:spPr>
          </c:dPt>
          <c:dPt>
            <c:idx val="376"/>
            <c:bubble3D val="0"/>
            <c:spPr>
              <a:solidFill>
                <a:schemeClr val="accent5">
                  <a:lumMod val="50000"/>
                  <a:lumOff val="50000"/>
                </a:schemeClr>
              </a:solidFill>
              <a:ln>
                <a:noFill/>
              </a:ln>
              <a:effectLst/>
            </c:spPr>
          </c:dPt>
          <c:dPt>
            <c:idx val="377"/>
            <c:bubble3D val="0"/>
            <c:spPr>
              <a:solidFill>
                <a:schemeClr val="accent6">
                  <a:lumMod val="50000"/>
                  <a:lumOff val="50000"/>
                </a:schemeClr>
              </a:solidFill>
              <a:ln>
                <a:noFill/>
              </a:ln>
              <a:effectLst/>
            </c:spPr>
          </c:dPt>
          <c:dPt>
            <c:idx val="378"/>
            <c:bubble3D val="0"/>
            <c:spPr>
              <a:solidFill>
                <a:schemeClr val="accent1"/>
              </a:solidFill>
              <a:ln>
                <a:noFill/>
              </a:ln>
              <a:effectLst/>
            </c:spPr>
          </c:dPt>
          <c:dPt>
            <c:idx val="379"/>
            <c:bubble3D val="0"/>
            <c:spPr>
              <a:solidFill>
                <a:schemeClr val="accent2"/>
              </a:solidFill>
              <a:ln>
                <a:noFill/>
              </a:ln>
              <a:effectLst/>
            </c:spPr>
          </c:dPt>
          <c:dPt>
            <c:idx val="380"/>
            <c:bubble3D val="0"/>
            <c:spPr>
              <a:solidFill>
                <a:schemeClr val="accent3"/>
              </a:solidFill>
              <a:ln>
                <a:noFill/>
              </a:ln>
              <a:effectLst/>
            </c:spPr>
          </c:dPt>
          <c:dPt>
            <c:idx val="381"/>
            <c:bubble3D val="0"/>
            <c:spPr>
              <a:solidFill>
                <a:schemeClr val="accent4"/>
              </a:solidFill>
              <a:ln>
                <a:noFill/>
              </a:ln>
              <a:effectLst/>
            </c:spPr>
          </c:dPt>
          <c:dPt>
            <c:idx val="382"/>
            <c:bubble3D val="0"/>
            <c:spPr>
              <a:solidFill>
                <a:schemeClr val="accent5"/>
              </a:solidFill>
              <a:ln>
                <a:noFill/>
              </a:ln>
              <a:effectLst/>
            </c:spPr>
          </c:dPt>
          <c:dPt>
            <c:idx val="383"/>
            <c:bubble3D val="0"/>
            <c:spPr>
              <a:solidFill>
                <a:schemeClr val="accent6"/>
              </a:solidFill>
              <a:ln>
                <a:noFill/>
              </a:ln>
              <a:effectLst/>
            </c:spPr>
          </c:dPt>
          <c:dPt>
            <c:idx val="384"/>
            <c:bubble3D val="0"/>
            <c:spPr>
              <a:solidFill>
                <a:schemeClr val="accent1">
                  <a:lumMod val="60000"/>
                </a:schemeClr>
              </a:solidFill>
              <a:ln>
                <a:noFill/>
              </a:ln>
              <a:effectLst/>
            </c:spPr>
          </c:dPt>
          <c:dPt>
            <c:idx val="385"/>
            <c:bubble3D val="0"/>
            <c:spPr>
              <a:solidFill>
                <a:schemeClr val="accent2">
                  <a:lumMod val="60000"/>
                </a:schemeClr>
              </a:solidFill>
              <a:ln>
                <a:noFill/>
              </a:ln>
              <a:effectLst/>
            </c:spPr>
          </c:dPt>
          <c:dPt>
            <c:idx val="386"/>
            <c:bubble3D val="0"/>
            <c:spPr>
              <a:solidFill>
                <a:schemeClr val="accent3">
                  <a:lumMod val="60000"/>
                </a:schemeClr>
              </a:solidFill>
              <a:ln>
                <a:noFill/>
              </a:ln>
              <a:effectLst/>
            </c:spPr>
          </c:dPt>
          <c:dPt>
            <c:idx val="387"/>
            <c:bubble3D val="0"/>
            <c:spPr>
              <a:solidFill>
                <a:schemeClr val="accent4">
                  <a:lumMod val="60000"/>
                </a:schemeClr>
              </a:solidFill>
              <a:ln>
                <a:noFill/>
              </a:ln>
              <a:effectLst/>
            </c:spPr>
          </c:dPt>
          <c:dPt>
            <c:idx val="388"/>
            <c:bubble3D val="0"/>
            <c:spPr>
              <a:solidFill>
                <a:schemeClr val="accent5">
                  <a:lumMod val="60000"/>
                </a:schemeClr>
              </a:solidFill>
              <a:ln>
                <a:noFill/>
              </a:ln>
              <a:effectLst/>
            </c:spPr>
          </c:dPt>
          <c:dPt>
            <c:idx val="389"/>
            <c:bubble3D val="0"/>
            <c:spPr>
              <a:solidFill>
                <a:schemeClr val="accent6">
                  <a:lumMod val="60000"/>
                </a:schemeClr>
              </a:solidFill>
              <a:ln>
                <a:noFill/>
              </a:ln>
              <a:effectLst/>
            </c:spPr>
          </c:dPt>
          <c:dPt>
            <c:idx val="390"/>
            <c:bubble3D val="0"/>
            <c:spPr>
              <a:solidFill>
                <a:schemeClr val="accent1">
                  <a:lumMod val="80000"/>
                  <a:lumOff val="20000"/>
                </a:schemeClr>
              </a:solidFill>
              <a:ln>
                <a:noFill/>
              </a:ln>
              <a:effectLst/>
            </c:spPr>
          </c:dPt>
          <c:dPt>
            <c:idx val="391"/>
            <c:bubble3D val="0"/>
            <c:spPr>
              <a:solidFill>
                <a:schemeClr val="accent2">
                  <a:lumMod val="80000"/>
                  <a:lumOff val="20000"/>
                </a:schemeClr>
              </a:solidFill>
              <a:ln>
                <a:noFill/>
              </a:ln>
              <a:effectLst/>
            </c:spPr>
          </c:dPt>
          <c:dPt>
            <c:idx val="392"/>
            <c:bubble3D val="0"/>
            <c:spPr>
              <a:solidFill>
                <a:schemeClr val="accent3">
                  <a:lumMod val="80000"/>
                  <a:lumOff val="20000"/>
                </a:schemeClr>
              </a:solidFill>
              <a:ln>
                <a:noFill/>
              </a:ln>
              <a:effectLst/>
            </c:spPr>
          </c:dPt>
          <c:dPt>
            <c:idx val="393"/>
            <c:bubble3D val="0"/>
            <c:spPr>
              <a:solidFill>
                <a:schemeClr val="accent4">
                  <a:lumMod val="80000"/>
                  <a:lumOff val="20000"/>
                </a:schemeClr>
              </a:solidFill>
              <a:ln>
                <a:noFill/>
              </a:ln>
              <a:effectLst/>
            </c:spPr>
          </c:dPt>
          <c:dPt>
            <c:idx val="394"/>
            <c:bubble3D val="0"/>
            <c:spPr>
              <a:solidFill>
                <a:schemeClr val="accent5">
                  <a:lumMod val="80000"/>
                  <a:lumOff val="20000"/>
                </a:schemeClr>
              </a:solidFill>
              <a:ln>
                <a:noFill/>
              </a:ln>
              <a:effectLst/>
            </c:spPr>
          </c:dPt>
          <c:dPt>
            <c:idx val="395"/>
            <c:bubble3D val="0"/>
            <c:spPr>
              <a:solidFill>
                <a:schemeClr val="accent6">
                  <a:lumMod val="80000"/>
                  <a:lumOff val="20000"/>
                </a:schemeClr>
              </a:solidFill>
              <a:ln>
                <a:noFill/>
              </a:ln>
              <a:effectLst/>
            </c:spPr>
          </c:dPt>
          <c:dPt>
            <c:idx val="396"/>
            <c:bubble3D val="0"/>
            <c:spPr>
              <a:solidFill>
                <a:schemeClr val="accent1">
                  <a:lumMod val="80000"/>
                </a:schemeClr>
              </a:solidFill>
              <a:ln>
                <a:noFill/>
              </a:ln>
              <a:effectLst/>
            </c:spPr>
          </c:dPt>
          <c:dPt>
            <c:idx val="397"/>
            <c:bubble3D val="0"/>
            <c:spPr>
              <a:solidFill>
                <a:schemeClr val="accent2">
                  <a:lumMod val="80000"/>
                </a:schemeClr>
              </a:solidFill>
              <a:ln>
                <a:noFill/>
              </a:ln>
              <a:effectLst/>
            </c:spPr>
          </c:dPt>
          <c:dPt>
            <c:idx val="398"/>
            <c:bubble3D val="0"/>
            <c:spPr>
              <a:solidFill>
                <a:schemeClr val="accent3">
                  <a:lumMod val="80000"/>
                </a:schemeClr>
              </a:solidFill>
              <a:ln>
                <a:noFill/>
              </a:ln>
              <a:effectLst/>
            </c:spPr>
          </c:dPt>
          <c:dPt>
            <c:idx val="399"/>
            <c:bubble3D val="0"/>
            <c:spPr>
              <a:solidFill>
                <a:schemeClr val="accent4">
                  <a:lumMod val="80000"/>
                </a:schemeClr>
              </a:solidFill>
              <a:ln>
                <a:noFill/>
              </a:ln>
              <a:effectLst/>
            </c:spPr>
          </c:dPt>
          <c:dPt>
            <c:idx val="400"/>
            <c:bubble3D val="0"/>
            <c:spPr>
              <a:solidFill>
                <a:schemeClr val="accent5">
                  <a:lumMod val="80000"/>
                </a:schemeClr>
              </a:solidFill>
              <a:ln>
                <a:noFill/>
              </a:ln>
              <a:effectLst/>
            </c:spPr>
          </c:dPt>
          <c:dPt>
            <c:idx val="401"/>
            <c:bubble3D val="0"/>
            <c:spPr>
              <a:solidFill>
                <a:schemeClr val="accent6">
                  <a:lumMod val="80000"/>
                </a:schemeClr>
              </a:solidFill>
              <a:ln>
                <a:noFill/>
              </a:ln>
              <a:effectLst/>
            </c:spPr>
          </c:dPt>
          <c:dPt>
            <c:idx val="402"/>
            <c:bubble3D val="0"/>
            <c:spPr>
              <a:solidFill>
                <a:schemeClr val="accent1">
                  <a:lumMod val="60000"/>
                  <a:lumOff val="40000"/>
                </a:schemeClr>
              </a:solidFill>
              <a:ln>
                <a:noFill/>
              </a:ln>
              <a:effectLst/>
            </c:spPr>
          </c:dPt>
          <c:dPt>
            <c:idx val="403"/>
            <c:bubble3D val="0"/>
            <c:spPr>
              <a:solidFill>
                <a:schemeClr val="accent2">
                  <a:lumMod val="60000"/>
                  <a:lumOff val="40000"/>
                </a:schemeClr>
              </a:solidFill>
              <a:ln>
                <a:noFill/>
              </a:ln>
              <a:effectLst/>
            </c:spPr>
          </c:dPt>
          <c:dPt>
            <c:idx val="404"/>
            <c:bubble3D val="0"/>
            <c:spPr>
              <a:solidFill>
                <a:schemeClr val="accent3">
                  <a:lumMod val="60000"/>
                  <a:lumOff val="40000"/>
                </a:schemeClr>
              </a:solidFill>
              <a:ln>
                <a:noFill/>
              </a:ln>
              <a:effectLst/>
            </c:spPr>
          </c:dPt>
          <c:dPt>
            <c:idx val="405"/>
            <c:bubble3D val="0"/>
            <c:spPr>
              <a:solidFill>
                <a:schemeClr val="accent4">
                  <a:lumMod val="60000"/>
                  <a:lumOff val="40000"/>
                </a:schemeClr>
              </a:solidFill>
              <a:ln>
                <a:noFill/>
              </a:ln>
              <a:effectLst/>
            </c:spPr>
          </c:dPt>
          <c:dPt>
            <c:idx val="406"/>
            <c:bubble3D val="0"/>
            <c:spPr>
              <a:solidFill>
                <a:schemeClr val="accent5">
                  <a:lumMod val="60000"/>
                  <a:lumOff val="40000"/>
                </a:schemeClr>
              </a:solidFill>
              <a:ln>
                <a:noFill/>
              </a:ln>
              <a:effectLst/>
            </c:spPr>
          </c:dPt>
          <c:dPt>
            <c:idx val="407"/>
            <c:bubble3D val="0"/>
            <c:spPr>
              <a:solidFill>
                <a:schemeClr val="accent6">
                  <a:lumMod val="60000"/>
                  <a:lumOff val="40000"/>
                </a:schemeClr>
              </a:solidFill>
              <a:ln>
                <a:noFill/>
              </a:ln>
              <a:effectLst/>
            </c:spPr>
          </c:dPt>
          <c:dPt>
            <c:idx val="408"/>
            <c:bubble3D val="0"/>
            <c:spPr>
              <a:solidFill>
                <a:schemeClr val="accent1">
                  <a:lumMod val="50000"/>
                </a:schemeClr>
              </a:solidFill>
              <a:ln>
                <a:noFill/>
              </a:ln>
              <a:effectLst/>
            </c:spPr>
          </c:dPt>
          <c:dPt>
            <c:idx val="409"/>
            <c:bubble3D val="0"/>
            <c:spPr>
              <a:solidFill>
                <a:schemeClr val="accent2">
                  <a:lumMod val="50000"/>
                </a:schemeClr>
              </a:solidFill>
              <a:ln>
                <a:noFill/>
              </a:ln>
              <a:effectLst/>
            </c:spPr>
          </c:dPt>
          <c:dPt>
            <c:idx val="410"/>
            <c:bubble3D val="0"/>
            <c:spPr>
              <a:solidFill>
                <a:schemeClr val="accent3">
                  <a:lumMod val="50000"/>
                </a:schemeClr>
              </a:solidFill>
              <a:ln>
                <a:noFill/>
              </a:ln>
              <a:effectLst/>
            </c:spPr>
          </c:dPt>
          <c:dPt>
            <c:idx val="411"/>
            <c:bubble3D val="0"/>
            <c:spPr>
              <a:solidFill>
                <a:schemeClr val="accent4">
                  <a:lumMod val="50000"/>
                </a:schemeClr>
              </a:solidFill>
              <a:ln>
                <a:noFill/>
              </a:ln>
              <a:effectLst/>
            </c:spPr>
          </c:dPt>
          <c:dPt>
            <c:idx val="412"/>
            <c:bubble3D val="0"/>
            <c:spPr>
              <a:solidFill>
                <a:schemeClr val="accent5">
                  <a:lumMod val="50000"/>
                </a:schemeClr>
              </a:solidFill>
              <a:ln>
                <a:noFill/>
              </a:ln>
              <a:effectLst/>
            </c:spPr>
          </c:dPt>
          <c:dPt>
            <c:idx val="413"/>
            <c:bubble3D val="0"/>
            <c:spPr>
              <a:solidFill>
                <a:schemeClr val="accent6">
                  <a:lumMod val="50000"/>
                </a:schemeClr>
              </a:solidFill>
              <a:ln>
                <a:noFill/>
              </a:ln>
              <a:effectLst/>
            </c:spPr>
          </c:dPt>
          <c:dPt>
            <c:idx val="414"/>
            <c:bubble3D val="0"/>
            <c:spPr>
              <a:solidFill>
                <a:schemeClr val="accent1">
                  <a:lumMod val="70000"/>
                  <a:lumOff val="30000"/>
                </a:schemeClr>
              </a:solidFill>
              <a:ln>
                <a:noFill/>
              </a:ln>
              <a:effectLst/>
            </c:spPr>
          </c:dPt>
          <c:dPt>
            <c:idx val="415"/>
            <c:bubble3D val="0"/>
            <c:spPr>
              <a:solidFill>
                <a:schemeClr val="accent2">
                  <a:lumMod val="70000"/>
                  <a:lumOff val="30000"/>
                </a:schemeClr>
              </a:solidFill>
              <a:ln>
                <a:noFill/>
              </a:ln>
              <a:effectLst/>
            </c:spPr>
          </c:dPt>
          <c:dPt>
            <c:idx val="416"/>
            <c:bubble3D val="0"/>
            <c:spPr>
              <a:solidFill>
                <a:schemeClr val="accent3">
                  <a:lumMod val="70000"/>
                  <a:lumOff val="30000"/>
                </a:schemeClr>
              </a:solidFill>
              <a:ln>
                <a:noFill/>
              </a:ln>
              <a:effectLst/>
            </c:spPr>
          </c:dPt>
          <c:dPt>
            <c:idx val="417"/>
            <c:bubble3D val="0"/>
            <c:spPr>
              <a:solidFill>
                <a:schemeClr val="accent4">
                  <a:lumMod val="70000"/>
                  <a:lumOff val="30000"/>
                </a:schemeClr>
              </a:solidFill>
              <a:ln>
                <a:noFill/>
              </a:ln>
              <a:effectLst/>
            </c:spPr>
          </c:dPt>
          <c:dPt>
            <c:idx val="418"/>
            <c:bubble3D val="0"/>
            <c:spPr>
              <a:solidFill>
                <a:schemeClr val="accent5">
                  <a:lumMod val="70000"/>
                  <a:lumOff val="30000"/>
                </a:schemeClr>
              </a:solidFill>
              <a:ln>
                <a:noFill/>
              </a:ln>
              <a:effectLst/>
            </c:spPr>
          </c:dPt>
          <c:dPt>
            <c:idx val="419"/>
            <c:bubble3D val="0"/>
            <c:spPr>
              <a:solidFill>
                <a:schemeClr val="accent6">
                  <a:lumMod val="70000"/>
                  <a:lumOff val="30000"/>
                </a:schemeClr>
              </a:solidFill>
              <a:ln>
                <a:noFill/>
              </a:ln>
              <a:effectLst/>
            </c:spPr>
          </c:dPt>
          <c:dPt>
            <c:idx val="420"/>
            <c:bubble3D val="0"/>
            <c:spPr>
              <a:solidFill>
                <a:schemeClr val="accent1">
                  <a:lumMod val="70000"/>
                </a:schemeClr>
              </a:solidFill>
              <a:ln>
                <a:noFill/>
              </a:ln>
              <a:effectLst/>
            </c:spPr>
          </c:dPt>
          <c:dPt>
            <c:idx val="421"/>
            <c:bubble3D val="0"/>
            <c:spPr>
              <a:solidFill>
                <a:schemeClr val="accent2">
                  <a:lumMod val="70000"/>
                </a:schemeClr>
              </a:solidFill>
              <a:ln>
                <a:noFill/>
              </a:ln>
              <a:effectLst/>
            </c:spPr>
          </c:dPt>
          <c:dPt>
            <c:idx val="422"/>
            <c:bubble3D val="0"/>
            <c:spPr>
              <a:solidFill>
                <a:schemeClr val="accent3">
                  <a:lumMod val="70000"/>
                </a:schemeClr>
              </a:solidFill>
              <a:ln>
                <a:noFill/>
              </a:ln>
              <a:effectLst/>
            </c:spPr>
          </c:dPt>
          <c:dPt>
            <c:idx val="423"/>
            <c:bubble3D val="0"/>
            <c:spPr>
              <a:solidFill>
                <a:schemeClr val="accent4">
                  <a:lumMod val="70000"/>
                </a:schemeClr>
              </a:solidFill>
              <a:ln>
                <a:noFill/>
              </a:ln>
              <a:effectLst/>
            </c:spPr>
          </c:dPt>
          <c:dPt>
            <c:idx val="424"/>
            <c:bubble3D val="0"/>
            <c:spPr>
              <a:solidFill>
                <a:schemeClr val="accent5">
                  <a:lumMod val="70000"/>
                </a:schemeClr>
              </a:solidFill>
              <a:ln>
                <a:noFill/>
              </a:ln>
              <a:effectLst/>
            </c:spPr>
          </c:dPt>
          <c:dPt>
            <c:idx val="425"/>
            <c:bubble3D val="0"/>
            <c:spPr>
              <a:solidFill>
                <a:schemeClr val="accent6">
                  <a:lumMod val="70000"/>
                </a:schemeClr>
              </a:solidFill>
              <a:ln>
                <a:noFill/>
              </a:ln>
              <a:effectLst/>
            </c:spPr>
          </c:dPt>
          <c:dPt>
            <c:idx val="426"/>
            <c:bubble3D val="0"/>
            <c:spPr>
              <a:solidFill>
                <a:schemeClr val="accent1">
                  <a:lumMod val="50000"/>
                  <a:lumOff val="50000"/>
                </a:schemeClr>
              </a:solidFill>
              <a:ln>
                <a:noFill/>
              </a:ln>
              <a:effectLst/>
            </c:spPr>
          </c:dPt>
          <c:dPt>
            <c:idx val="427"/>
            <c:bubble3D val="0"/>
            <c:spPr>
              <a:solidFill>
                <a:schemeClr val="accent2">
                  <a:lumMod val="50000"/>
                  <a:lumOff val="50000"/>
                </a:schemeClr>
              </a:solidFill>
              <a:ln>
                <a:noFill/>
              </a:ln>
              <a:effectLst/>
            </c:spPr>
          </c:dPt>
          <c:dPt>
            <c:idx val="428"/>
            <c:bubble3D val="0"/>
            <c:spPr>
              <a:solidFill>
                <a:schemeClr val="accent3">
                  <a:lumMod val="50000"/>
                  <a:lumOff val="50000"/>
                </a:schemeClr>
              </a:solidFill>
              <a:ln>
                <a:noFill/>
              </a:ln>
              <a:effectLst/>
            </c:spPr>
          </c:dPt>
          <c:dPt>
            <c:idx val="429"/>
            <c:bubble3D val="0"/>
            <c:spPr>
              <a:solidFill>
                <a:schemeClr val="accent4">
                  <a:lumMod val="50000"/>
                  <a:lumOff val="50000"/>
                </a:schemeClr>
              </a:solidFill>
              <a:ln>
                <a:noFill/>
              </a:ln>
              <a:effectLst/>
            </c:spPr>
          </c:dPt>
          <c:dPt>
            <c:idx val="430"/>
            <c:bubble3D val="0"/>
            <c:spPr>
              <a:solidFill>
                <a:schemeClr val="accent5">
                  <a:lumMod val="50000"/>
                  <a:lumOff val="50000"/>
                </a:schemeClr>
              </a:solidFill>
              <a:ln>
                <a:noFill/>
              </a:ln>
              <a:effectLst/>
            </c:spPr>
          </c:dPt>
          <c:dPt>
            <c:idx val="431"/>
            <c:bubble3D val="0"/>
            <c:spPr>
              <a:solidFill>
                <a:schemeClr val="accent6">
                  <a:lumMod val="50000"/>
                  <a:lumOff val="50000"/>
                </a:schemeClr>
              </a:solidFill>
              <a:ln>
                <a:noFill/>
              </a:ln>
              <a:effectLst/>
            </c:spPr>
          </c:dPt>
          <c:dPt>
            <c:idx val="432"/>
            <c:bubble3D val="0"/>
            <c:spPr>
              <a:solidFill>
                <a:schemeClr val="accent1"/>
              </a:solidFill>
              <a:ln>
                <a:noFill/>
              </a:ln>
              <a:effectLst/>
            </c:spPr>
          </c:dPt>
          <c:dPt>
            <c:idx val="433"/>
            <c:bubble3D val="0"/>
            <c:spPr>
              <a:solidFill>
                <a:schemeClr val="accent2"/>
              </a:solidFill>
              <a:ln>
                <a:noFill/>
              </a:ln>
              <a:effectLst/>
            </c:spPr>
          </c:dPt>
          <c:dPt>
            <c:idx val="434"/>
            <c:bubble3D val="0"/>
            <c:spPr>
              <a:solidFill>
                <a:schemeClr val="accent3"/>
              </a:solidFill>
              <a:ln>
                <a:noFill/>
              </a:ln>
              <a:effectLst/>
            </c:spPr>
          </c:dPt>
          <c:dPt>
            <c:idx val="435"/>
            <c:bubble3D val="0"/>
            <c:spPr>
              <a:solidFill>
                <a:schemeClr val="accent4"/>
              </a:solidFill>
              <a:ln>
                <a:noFill/>
              </a:ln>
              <a:effectLst/>
            </c:spPr>
          </c:dPt>
          <c:dPt>
            <c:idx val="436"/>
            <c:bubble3D val="0"/>
            <c:spPr>
              <a:solidFill>
                <a:schemeClr val="accent5"/>
              </a:solidFill>
              <a:ln>
                <a:noFill/>
              </a:ln>
              <a:effectLst/>
            </c:spPr>
          </c:dPt>
          <c:dPt>
            <c:idx val="437"/>
            <c:bubble3D val="0"/>
            <c:spPr>
              <a:solidFill>
                <a:schemeClr val="accent6"/>
              </a:solidFill>
              <a:ln>
                <a:noFill/>
              </a:ln>
              <a:effectLst/>
            </c:spPr>
          </c:dPt>
          <c:dPt>
            <c:idx val="438"/>
            <c:bubble3D val="0"/>
            <c:spPr>
              <a:solidFill>
                <a:schemeClr val="accent1">
                  <a:lumMod val="60000"/>
                </a:schemeClr>
              </a:solidFill>
              <a:ln>
                <a:noFill/>
              </a:ln>
              <a:effectLst/>
            </c:spPr>
          </c:dPt>
          <c:dPt>
            <c:idx val="439"/>
            <c:bubble3D val="0"/>
            <c:spPr>
              <a:solidFill>
                <a:schemeClr val="accent2">
                  <a:lumMod val="60000"/>
                </a:schemeClr>
              </a:solidFill>
              <a:ln>
                <a:noFill/>
              </a:ln>
              <a:effectLst/>
            </c:spPr>
          </c:dPt>
          <c:dPt>
            <c:idx val="440"/>
            <c:bubble3D val="0"/>
            <c:spPr>
              <a:solidFill>
                <a:schemeClr val="accent3">
                  <a:lumMod val="60000"/>
                </a:schemeClr>
              </a:solidFill>
              <a:ln>
                <a:noFill/>
              </a:ln>
              <a:effectLst/>
            </c:spPr>
          </c:dPt>
          <c:dPt>
            <c:idx val="441"/>
            <c:bubble3D val="0"/>
            <c:spPr>
              <a:solidFill>
                <a:schemeClr val="accent4">
                  <a:lumMod val="60000"/>
                </a:schemeClr>
              </a:solidFill>
              <a:ln>
                <a:noFill/>
              </a:ln>
              <a:effectLst/>
            </c:spPr>
          </c:dPt>
          <c:dPt>
            <c:idx val="442"/>
            <c:bubble3D val="0"/>
            <c:spPr>
              <a:solidFill>
                <a:schemeClr val="accent5">
                  <a:lumMod val="60000"/>
                </a:schemeClr>
              </a:solidFill>
              <a:ln>
                <a:noFill/>
              </a:ln>
              <a:effectLst/>
            </c:spPr>
          </c:dPt>
          <c:dPt>
            <c:idx val="443"/>
            <c:bubble3D val="0"/>
            <c:spPr>
              <a:solidFill>
                <a:schemeClr val="accent6">
                  <a:lumMod val="60000"/>
                </a:schemeClr>
              </a:solidFill>
              <a:ln>
                <a:noFill/>
              </a:ln>
              <a:effectLst/>
            </c:spPr>
          </c:dPt>
          <c:dPt>
            <c:idx val="444"/>
            <c:bubble3D val="0"/>
            <c:spPr>
              <a:solidFill>
                <a:schemeClr val="accent1">
                  <a:lumMod val="80000"/>
                  <a:lumOff val="20000"/>
                </a:schemeClr>
              </a:solidFill>
              <a:ln>
                <a:noFill/>
              </a:ln>
              <a:effectLst/>
            </c:spPr>
          </c:dPt>
          <c:dPt>
            <c:idx val="445"/>
            <c:bubble3D val="0"/>
            <c:spPr>
              <a:solidFill>
                <a:schemeClr val="accent2">
                  <a:lumMod val="80000"/>
                  <a:lumOff val="20000"/>
                </a:schemeClr>
              </a:solidFill>
              <a:ln>
                <a:noFill/>
              </a:ln>
              <a:effectLst/>
            </c:spPr>
          </c:dPt>
          <c:dPt>
            <c:idx val="446"/>
            <c:bubble3D val="0"/>
            <c:spPr>
              <a:solidFill>
                <a:schemeClr val="accent3">
                  <a:lumMod val="80000"/>
                  <a:lumOff val="20000"/>
                </a:schemeClr>
              </a:solidFill>
              <a:ln>
                <a:noFill/>
              </a:ln>
              <a:effectLst/>
            </c:spPr>
          </c:dPt>
          <c:dPt>
            <c:idx val="447"/>
            <c:bubble3D val="0"/>
            <c:spPr>
              <a:solidFill>
                <a:schemeClr val="accent4">
                  <a:lumMod val="80000"/>
                  <a:lumOff val="20000"/>
                </a:schemeClr>
              </a:solidFill>
              <a:ln>
                <a:noFill/>
              </a:ln>
              <a:effectLst/>
            </c:spPr>
          </c:dPt>
          <c:dPt>
            <c:idx val="448"/>
            <c:bubble3D val="0"/>
            <c:spPr>
              <a:solidFill>
                <a:schemeClr val="accent5">
                  <a:lumMod val="80000"/>
                  <a:lumOff val="20000"/>
                </a:schemeClr>
              </a:solidFill>
              <a:ln>
                <a:noFill/>
              </a:ln>
              <a:effectLst/>
            </c:spPr>
          </c:dPt>
          <c:dPt>
            <c:idx val="449"/>
            <c:bubble3D val="0"/>
            <c:spPr>
              <a:solidFill>
                <a:schemeClr val="accent6">
                  <a:lumMod val="80000"/>
                  <a:lumOff val="20000"/>
                </a:schemeClr>
              </a:solidFill>
              <a:ln>
                <a:noFill/>
              </a:ln>
              <a:effectLst/>
            </c:spPr>
          </c:dPt>
          <c:dPt>
            <c:idx val="450"/>
            <c:bubble3D val="0"/>
            <c:spPr>
              <a:solidFill>
                <a:schemeClr val="accent1">
                  <a:lumMod val="80000"/>
                </a:schemeClr>
              </a:solidFill>
              <a:ln>
                <a:noFill/>
              </a:ln>
              <a:effectLst/>
            </c:spPr>
          </c:dPt>
          <c:dPt>
            <c:idx val="451"/>
            <c:bubble3D val="0"/>
            <c:spPr>
              <a:solidFill>
                <a:schemeClr val="accent2">
                  <a:lumMod val="80000"/>
                </a:schemeClr>
              </a:solidFill>
              <a:ln>
                <a:noFill/>
              </a:ln>
              <a:effectLst/>
            </c:spPr>
          </c:dPt>
          <c:dPt>
            <c:idx val="452"/>
            <c:bubble3D val="0"/>
            <c:spPr>
              <a:solidFill>
                <a:schemeClr val="accent3">
                  <a:lumMod val="80000"/>
                </a:schemeClr>
              </a:solidFill>
              <a:ln>
                <a:noFill/>
              </a:ln>
              <a:effectLst/>
            </c:spPr>
          </c:dPt>
          <c:dPt>
            <c:idx val="453"/>
            <c:bubble3D val="0"/>
            <c:spPr>
              <a:solidFill>
                <a:schemeClr val="accent4">
                  <a:lumMod val="80000"/>
                </a:schemeClr>
              </a:solidFill>
              <a:ln>
                <a:noFill/>
              </a:ln>
              <a:effectLst/>
            </c:spPr>
          </c:dPt>
          <c:dPt>
            <c:idx val="454"/>
            <c:bubble3D val="0"/>
            <c:spPr>
              <a:solidFill>
                <a:schemeClr val="accent5">
                  <a:lumMod val="80000"/>
                </a:schemeClr>
              </a:solidFill>
              <a:ln>
                <a:noFill/>
              </a:ln>
              <a:effectLst/>
            </c:spPr>
          </c:dPt>
          <c:dPt>
            <c:idx val="455"/>
            <c:bubble3D val="0"/>
            <c:spPr>
              <a:solidFill>
                <a:schemeClr val="accent6">
                  <a:lumMod val="80000"/>
                </a:schemeClr>
              </a:solidFill>
              <a:ln>
                <a:noFill/>
              </a:ln>
              <a:effectLst/>
            </c:spPr>
          </c:dPt>
          <c:dPt>
            <c:idx val="456"/>
            <c:bubble3D val="0"/>
            <c:spPr>
              <a:solidFill>
                <a:schemeClr val="accent1">
                  <a:lumMod val="60000"/>
                  <a:lumOff val="40000"/>
                </a:schemeClr>
              </a:solidFill>
              <a:ln>
                <a:noFill/>
              </a:ln>
              <a:effectLst/>
            </c:spPr>
          </c:dPt>
          <c:dPt>
            <c:idx val="457"/>
            <c:bubble3D val="0"/>
            <c:spPr>
              <a:solidFill>
                <a:schemeClr val="accent2">
                  <a:lumMod val="60000"/>
                  <a:lumOff val="40000"/>
                </a:schemeClr>
              </a:solidFill>
              <a:ln>
                <a:noFill/>
              </a:ln>
              <a:effectLst/>
            </c:spPr>
          </c:dPt>
          <c:dPt>
            <c:idx val="458"/>
            <c:bubble3D val="0"/>
            <c:spPr>
              <a:solidFill>
                <a:schemeClr val="accent3">
                  <a:lumMod val="60000"/>
                  <a:lumOff val="40000"/>
                </a:schemeClr>
              </a:solidFill>
              <a:ln>
                <a:noFill/>
              </a:ln>
              <a:effectLst/>
            </c:spPr>
          </c:dPt>
          <c:dPt>
            <c:idx val="459"/>
            <c:bubble3D val="0"/>
            <c:spPr>
              <a:solidFill>
                <a:schemeClr val="accent4">
                  <a:lumMod val="60000"/>
                  <a:lumOff val="40000"/>
                </a:schemeClr>
              </a:solidFill>
              <a:ln>
                <a:noFill/>
              </a:ln>
              <a:effectLst/>
            </c:spPr>
          </c:dPt>
          <c:dPt>
            <c:idx val="460"/>
            <c:bubble3D val="0"/>
            <c:spPr>
              <a:solidFill>
                <a:schemeClr val="accent5">
                  <a:lumMod val="60000"/>
                  <a:lumOff val="40000"/>
                </a:schemeClr>
              </a:solidFill>
              <a:ln>
                <a:noFill/>
              </a:ln>
              <a:effectLst/>
            </c:spPr>
          </c:dPt>
          <c:dPt>
            <c:idx val="461"/>
            <c:bubble3D val="0"/>
            <c:spPr>
              <a:solidFill>
                <a:schemeClr val="accent6">
                  <a:lumMod val="60000"/>
                  <a:lumOff val="40000"/>
                </a:schemeClr>
              </a:solidFill>
              <a:ln>
                <a:noFill/>
              </a:ln>
              <a:effectLst/>
            </c:spPr>
          </c:dPt>
          <c:dPt>
            <c:idx val="462"/>
            <c:bubble3D val="0"/>
            <c:spPr>
              <a:solidFill>
                <a:schemeClr val="accent1">
                  <a:lumMod val="50000"/>
                </a:schemeClr>
              </a:solidFill>
              <a:ln>
                <a:noFill/>
              </a:ln>
              <a:effectLst/>
            </c:spPr>
          </c:dPt>
          <c:dPt>
            <c:idx val="463"/>
            <c:bubble3D val="0"/>
            <c:spPr>
              <a:solidFill>
                <a:schemeClr val="accent2">
                  <a:lumMod val="50000"/>
                </a:schemeClr>
              </a:solidFill>
              <a:ln>
                <a:noFill/>
              </a:ln>
              <a:effectLst/>
            </c:spPr>
          </c:dPt>
          <c:dPt>
            <c:idx val="464"/>
            <c:bubble3D val="0"/>
            <c:spPr>
              <a:solidFill>
                <a:schemeClr val="accent3">
                  <a:lumMod val="50000"/>
                </a:schemeClr>
              </a:solidFill>
              <a:ln>
                <a:noFill/>
              </a:ln>
              <a:effectLst/>
            </c:spPr>
          </c:dPt>
          <c:dPt>
            <c:idx val="465"/>
            <c:bubble3D val="0"/>
            <c:spPr>
              <a:solidFill>
                <a:schemeClr val="accent4">
                  <a:lumMod val="50000"/>
                </a:schemeClr>
              </a:solidFill>
              <a:ln>
                <a:noFill/>
              </a:ln>
              <a:effectLst/>
            </c:spPr>
          </c:dPt>
          <c:dPt>
            <c:idx val="466"/>
            <c:bubble3D val="0"/>
            <c:spPr>
              <a:solidFill>
                <a:schemeClr val="accent5">
                  <a:lumMod val="50000"/>
                </a:schemeClr>
              </a:solidFill>
              <a:ln>
                <a:noFill/>
              </a:ln>
              <a:effectLst/>
            </c:spPr>
          </c:dPt>
          <c:dPt>
            <c:idx val="467"/>
            <c:bubble3D val="0"/>
            <c:spPr>
              <a:solidFill>
                <a:schemeClr val="accent6">
                  <a:lumMod val="50000"/>
                </a:schemeClr>
              </a:solidFill>
              <a:ln>
                <a:noFill/>
              </a:ln>
              <a:effectLst/>
            </c:spPr>
          </c:dPt>
          <c:dPt>
            <c:idx val="468"/>
            <c:bubble3D val="0"/>
            <c:spPr>
              <a:solidFill>
                <a:schemeClr val="accent1">
                  <a:lumMod val="70000"/>
                  <a:lumOff val="30000"/>
                </a:schemeClr>
              </a:solidFill>
              <a:ln>
                <a:noFill/>
              </a:ln>
              <a:effectLst/>
            </c:spPr>
          </c:dPt>
          <c:dPt>
            <c:idx val="469"/>
            <c:bubble3D val="0"/>
            <c:spPr>
              <a:solidFill>
                <a:schemeClr val="accent2">
                  <a:lumMod val="70000"/>
                  <a:lumOff val="30000"/>
                </a:schemeClr>
              </a:solidFill>
              <a:ln>
                <a:noFill/>
              </a:ln>
              <a:effectLst/>
            </c:spPr>
          </c:dPt>
          <c:dPt>
            <c:idx val="470"/>
            <c:bubble3D val="0"/>
            <c:spPr>
              <a:solidFill>
                <a:schemeClr val="accent3">
                  <a:lumMod val="70000"/>
                  <a:lumOff val="30000"/>
                </a:schemeClr>
              </a:solidFill>
              <a:ln>
                <a:noFill/>
              </a:ln>
              <a:effectLst/>
            </c:spPr>
          </c:dPt>
          <c:dPt>
            <c:idx val="471"/>
            <c:bubble3D val="0"/>
            <c:spPr>
              <a:solidFill>
                <a:schemeClr val="accent4">
                  <a:lumMod val="70000"/>
                  <a:lumOff val="30000"/>
                </a:schemeClr>
              </a:solidFill>
              <a:ln>
                <a:noFill/>
              </a:ln>
              <a:effectLst/>
            </c:spPr>
          </c:dPt>
          <c:dPt>
            <c:idx val="472"/>
            <c:bubble3D val="0"/>
            <c:spPr>
              <a:solidFill>
                <a:schemeClr val="accent5">
                  <a:lumMod val="70000"/>
                  <a:lumOff val="30000"/>
                </a:schemeClr>
              </a:solidFill>
              <a:ln>
                <a:noFill/>
              </a:ln>
              <a:effectLst/>
            </c:spPr>
          </c:dPt>
          <c:dPt>
            <c:idx val="473"/>
            <c:bubble3D val="0"/>
            <c:spPr>
              <a:solidFill>
                <a:schemeClr val="accent6">
                  <a:lumMod val="70000"/>
                  <a:lumOff val="30000"/>
                </a:schemeClr>
              </a:solidFill>
              <a:ln>
                <a:noFill/>
              </a:ln>
              <a:effectLst/>
            </c:spPr>
          </c:dPt>
          <c:dPt>
            <c:idx val="474"/>
            <c:bubble3D val="0"/>
            <c:spPr>
              <a:solidFill>
                <a:schemeClr val="accent1">
                  <a:lumMod val="70000"/>
                </a:schemeClr>
              </a:solidFill>
              <a:ln>
                <a:noFill/>
              </a:ln>
              <a:effectLst/>
            </c:spPr>
          </c:dPt>
          <c:dPt>
            <c:idx val="475"/>
            <c:bubble3D val="0"/>
            <c:spPr>
              <a:solidFill>
                <a:schemeClr val="accent2">
                  <a:lumMod val="70000"/>
                </a:schemeClr>
              </a:solidFill>
              <a:ln>
                <a:noFill/>
              </a:ln>
              <a:effectLst/>
            </c:spPr>
          </c:dPt>
          <c:dPt>
            <c:idx val="476"/>
            <c:bubble3D val="0"/>
            <c:spPr>
              <a:solidFill>
                <a:schemeClr val="accent3">
                  <a:lumMod val="70000"/>
                </a:schemeClr>
              </a:solidFill>
              <a:ln>
                <a:noFill/>
              </a:ln>
              <a:effectLst/>
            </c:spPr>
          </c:dPt>
          <c:dPt>
            <c:idx val="477"/>
            <c:bubble3D val="0"/>
            <c:spPr>
              <a:solidFill>
                <a:schemeClr val="accent4">
                  <a:lumMod val="70000"/>
                </a:schemeClr>
              </a:solidFill>
              <a:ln>
                <a:noFill/>
              </a:ln>
              <a:effectLst/>
            </c:spPr>
          </c:dPt>
          <c:dPt>
            <c:idx val="478"/>
            <c:bubble3D val="0"/>
            <c:spPr>
              <a:solidFill>
                <a:schemeClr val="accent5">
                  <a:lumMod val="70000"/>
                </a:schemeClr>
              </a:solidFill>
              <a:ln>
                <a:noFill/>
              </a:ln>
              <a:effectLst/>
            </c:spPr>
          </c:dPt>
          <c:dPt>
            <c:idx val="479"/>
            <c:bubble3D val="0"/>
            <c:spPr>
              <a:solidFill>
                <a:schemeClr val="accent6">
                  <a:lumMod val="70000"/>
                </a:schemeClr>
              </a:solidFill>
              <a:ln>
                <a:noFill/>
              </a:ln>
              <a:effectLst/>
            </c:spPr>
          </c:dPt>
          <c:dPt>
            <c:idx val="480"/>
            <c:bubble3D val="0"/>
            <c:spPr>
              <a:solidFill>
                <a:schemeClr val="accent1">
                  <a:lumMod val="50000"/>
                  <a:lumOff val="50000"/>
                </a:schemeClr>
              </a:solidFill>
              <a:ln>
                <a:noFill/>
              </a:ln>
              <a:effectLst/>
            </c:spPr>
          </c:dPt>
          <c:dPt>
            <c:idx val="481"/>
            <c:bubble3D val="0"/>
            <c:spPr>
              <a:solidFill>
                <a:schemeClr val="accent2">
                  <a:lumMod val="50000"/>
                  <a:lumOff val="50000"/>
                </a:schemeClr>
              </a:solidFill>
              <a:ln>
                <a:noFill/>
              </a:ln>
              <a:effectLst/>
            </c:spPr>
          </c:dPt>
          <c:dPt>
            <c:idx val="482"/>
            <c:bubble3D val="0"/>
            <c:spPr>
              <a:solidFill>
                <a:schemeClr val="accent3">
                  <a:lumMod val="50000"/>
                  <a:lumOff val="50000"/>
                </a:schemeClr>
              </a:solidFill>
              <a:ln>
                <a:noFill/>
              </a:ln>
              <a:effectLst/>
            </c:spPr>
          </c:dPt>
          <c:dPt>
            <c:idx val="483"/>
            <c:bubble3D val="0"/>
            <c:spPr>
              <a:solidFill>
                <a:schemeClr val="accent4">
                  <a:lumMod val="50000"/>
                  <a:lumOff val="50000"/>
                </a:schemeClr>
              </a:solidFill>
              <a:ln>
                <a:noFill/>
              </a:ln>
              <a:effectLst/>
            </c:spPr>
          </c:dPt>
          <c:dPt>
            <c:idx val="484"/>
            <c:bubble3D val="0"/>
            <c:spPr>
              <a:solidFill>
                <a:schemeClr val="accent5">
                  <a:lumMod val="50000"/>
                  <a:lumOff val="50000"/>
                </a:schemeClr>
              </a:solidFill>
              <a:ln>
                <a:noFill/>
              </a:ln>
              <a:effectLst/>
            </c:spPr>
          </c:dPt>
          <c:dPt>
            <c:idx val="485"/>
            <c:bubble3D val="0"/>
            <c:spPr>
              <a:solidFill>
                <a:schemeClr val="accent6">
                  <a:lumMod val="50000"/>
                  <a:lumOff val="50000"/>
                </a:schemeClr>
              </a:solidFill>
              <a:ln>
                <a:noFill/>
              </a:ln>
              <a:effectLst/>
            </c:spPr>
          </c:dPt>
          <c:dPt>
            <c:idx val="486"/>
            <c:bubble3D val="0"/>
            <c:spPr>
              <a:solidFill>
                <a:schemeClr val="accent1"/>
              </a:solidFill>
              <a:ln>
                <a:noFill/>
              </a:ln>
              <a:effectLst/>
            </c:spPr>
          </c:dPt>
          <c:dPt>
            <c:idx val="487"/>
            <c:bubble3D val="0"/>
            <c:spPr>
              <a:solidFill>
                <a:schemeClr val="accent2"/>
              </a:solidFill>
              <a:ln>
                <a:noFill/>
              </a:ln>
              <a:effectLst/>
            </c:spPr>
          </c:dPt>
          <c:dPt>
            <c:idx val="488"/>
            <c:bubble3D val="0"/>
            <c:spPr>
              <a:solidFill>
                <a:schemeClr val="accent3"/>
              </a:solidFill>
              <a:ln>
                <a:noFill/>
              </a:ln>
              <a:effectLst/>
            </c:spPr>
          </c:dPt>
          <c:dPt>
            <c:idx val="489"/>
            <c:bubble3D val="0"/>
            <c:spPr>
              <a:solidFill>
                <a:schemeClr val="accent4"/>
              </a:solidFill>
              <a:ln>
                <a:noFill/>
              </a:ln>
              <a:effectLst/>
            </c:spPr>
          </c:dPt>
          <c:dPt>
            <c:idx val="490"/>
            <c:bubble3D val="0"/>
            <c:spPr>
              <a:solidFill>
                <a:schemeClr val="accent5"/>
              </a:solidFill>
              <a:ln>
                <a:noFill/>
              </a:ln>
              <a:effectLst/>
            </c:spPr>
          </c:dPt>
          <c:dPt>
            <c:idx val="491"/>
            <c:bubble3D val="0"/>
            <c:spPr>
              <a:solidFill>
                <a:schemeClr val="accent6"/>
              </a:solidFill>
              <a:ln>
                <a:noFill/>
              </a:ln>
              <a:effectLst/>
            </c:spPr>
          </c:dPt>
          <c:dPt>
            <c:idx val="492"/>
            <c:bubble3D val="0"/>
            <c:spPr>
              <a:solidFill>
                <a:schemeClr val="accent1">
                  <a:lumMod val="60000"/>
                </a:schemeClr>
              </a:solidFill>
              <a:ln>
                <a:noFill/>
              </a:ln>
              <a:effectLst/>
            </c:spPr>
          </c:dPt>
          <c:dPt>
            <c:idx val="493"/>
            <c:bubble3D val="0"/>
            <c:spPr>
              <a:solidFill>
                <a:schemeClr val="accent2">
                  <a:lumMod val="60000"/>
                </a:schemeClr>
              </a:solidFill>
              <a:ln>
                <a:noFill/>
              </a:ln>
              <a:effectLst/>
            </c:spPr>
          </c:dPt>
          <c:dPt>
            <c:idx val="494"/>
            <c:bubble3D val="0"/>
            <c:spPr>
              <a:solidFill>
                <a:schemeClr val="accent3">
                  <a:lumMod val="60000"/>
                </a:schemeClr>
              </a:solidFill>
              <a:ln>
                <a:noFill/>
              </a:ln>
              <a:effectLst/>
            </c:spPr>
          </c:dPt>
          <c:dPt>
            <c:idx val="495"/>
            <c:bubble3D val="0"/>
            <c:spPr>
              <a:solidFill>
                <a:schemeClr val="accent4">
                  <a:lumMod val="60000"/>
                </a:schemeClr>
              </a:solidFill>
              <a:ln>
                <a:noFill/>
              </a:ln>
              <a:effectLst/>
            </c:spPr>
          </c:dPt>
          <c:dPt>
            <c:idx val="496"/>
            <c:bubble3D val="0"/>
            <c:spPr>
              <a:solidFill>
                <a:schemeClr val="accent5">
                  <a:lumMod val="60000"/>
                </a:schemeClr>
              </a:solidFill>
              <a:ln>
                <a:noFill/>
              </a:ln>
              <a:effectLst/>
            </c:spPr>
          </c:dPt>
          <c:dPt>
            <c:idx val="497"/>
            <c:bubble3D val="0"/>
            <c:spPr>
              <a:solidFill>
                <a:schemeClr val="accent6">
                  <a:lumMod val="60000"/>
                </a:schemeClr>
              </a:solidFill>
              <a:ln>
                <a:noFill/>
              </a:ln>
              <a:effectLst/>
            </c:spPr>
          </c:dPt>
          <c:dPt>
            <c:idx val="498"/>
            <c:bubble3D val="0"/>
            <c:spPr>
              <a:solidFill>
                <a:schemeClr val="accent1">
                  <a:lumMod val="80000"/>
                  <a:lumOff val="20000"/>
                </a:schemeClr>
              </a:solidFill>
              <a:ln>
                <a:noFill/>
              </a:ln>
              <a:effectLst/>
            </c:spPr>
          </c:dPt>
          <c:dPt>
            <c:idx val="499"/>
            <c:bubble3D val="0"/>
            <c:spPr>
              <a:solidFill>
                <a:schemeClr val="accent2">
                  <a:lumMod val="80000"/>
                  <a:lumOff val="20000"/>
                </a:schemeClr>
              </a:solidFill>
              <a:ln>
                <a:noFill/>
              </a:ln>
              <a:effectLst/>
            </c:spPr>
          </c:dPt>
          <c:dPt>
            <c:idx val="500"/>
            <c:bubble3D val="0"/>
            <c:spPr>
              <a:solidFill>
                <a:schemeClr val="accent3">
                  <a:lumMod val="80000"/>
                  <a:lumOff val="20000"/>
                </a:schemeClr>
              </a:solidFill>
              <a:ln>
                <a:noFill/>
              </a:ln>
              <a:effectLst/>
            </c:spPr>
          </c:dPt>
          <c:dPt>
            <c:idx val="501"/>
            <c:bubble3D val="0"/>
            <c:spPr>
              <a:solidFill>
                <a:schemeClr val="accent4">
                  <a:lumMod val="80000"/>
                  <a:lumOff val="20000"/>
                </a:schemeClr>
              </a:solidFill>
              <a:ln>
                <a:noFill/>
              </a:ln>
              <a:effectLst/>
            </c:spPr>
          </c:dPt>
          <c:dPt>
            <c:idx val="502"/>
            <c:bubble3D val="0"/>
            <c:spPr>
              <a:solidFill>
                <a:schemeClr val="accent5">
                  <a:lumMod val="80000"/>
                  <a:lumOff val="20000"/>
                </a:schemeClr>
              </a:solidFill>
              <a:ln>
                <a:noFill/>
              </a:ln>
              <a:effectLst/>
            </c:spPr>
          </c:dPt>
          <c:dPt>
            <c:idx val="503"/>
            <c:bubble3D val="0"/>
            <c:spPr>
              <a:solidFill>
                <a:schemeClr val="accent6">
                  <a:lumMod val="80000"/>
                  <a:lumOff val="20000"/>
                </a:schemeClr>
              </a:solidFill>
              <a:ln>
                <a:noFill/>
              </a:ln>
              <a:effectLst/>
            </c:spPr>
          </c:dPt>
          <c:dPt>
            <c:idx val="504"/>
            <c:bubble3D val="0"/>
            <c:spPr>
              <a:solidFill>
                <a:schemeClr val="accent1">
                  <a:lumMod val="80000"/>
                </a:schemeClr>
              </a:solidFill>
              <a:ln>
                <a:noFill/>
              </a:ln>
              <a:effectLst/>
            </c:spPr>
          </c:dPt>
          <c:dPt>
            <c:idx val="505"/>
            <c:bubble3D val="0"/>
            <c:spPr>
              <a:solidFill>
                <a:schemeClr val="accent2">
                  <a:lumMod val="80000"/>
                </a:schemeClr>
              </a:solidFill>
              <a:ln>
                <a:noFill/>
              </a:ln>
              <a:effectLst/>
            </c:spPr>
          </c:dPt>
          <c:dPt>
            <c:idx val="506"/>
            <c:bubble3D val="0"/>
            <c:spPr>
              <a:solidFill>
                <a:schemeClr val="accent3">
                  <a:lumMod val="80000"/>
                </a:schemeClr>
              </a:solidFill>
              <a:ln>
                <a:noFill/>
              </a:ln>
              <a:effectLst/>
            </c:spPr>
          </c:dPt>
          <c:dPt>
            <c:idx val="507"/>
            <c:bubble3D val="0"/>
            <c:spPr>
              <a:solidFill>
                <a:schemeClr val="accent4">
                  <a:lumMod val="80000"/>
                </a:schemeClr>
              </a:solidFill>
              <a:ln>
                <a:noFill/>
              </a:ln>
              <a:effectLst/>
            </c:spPr>
          </c:dPt>
          <c:dPt>
            <c:idx val="508"/>
            <c:bubble3D val="0"/>
            <c:spPr>
              <a:solidFill>
                <a:schemeClr val="accent5">
                  <a:lumMod val="80000"/>
                </a:schemeClr>
              </a:solidFill>
              <a:ln>
                <a:noFill/>
              </a:ln>
              <a:effectLst/>
            </c:spPr>
          </c:dPt>
          <c:dPt>
            <c:idx val="509"/>
            <c:bubble3D val="0"/>
            <c:spPr>
              <a:solidFill>
                <a:schemeClr val="accent6">
                  <a:lumMod val="80000"/>
                </a:schemeClr>
              </a:solidFill>
              <a:ln>
                <a:noFill/>
              </a:ln>
              <a:effectLst/>
            </c:spPr>
          </c:dPt>
          <c:dPt>
            <c:idx val="510"/>
            <c:bubble3D val="0"/>
            <c:spPr>
              <a:solidFill>
                <a:schemeClr val="accent1">
                  <a:lumMod val="60000"/>
                  <a:lumOff val="40000"/>
                </a:schemeClr>
              </a:solidFill>
              <a:ln>
                <a:noFill/>
              </a:ln>
              <a:effectLst/>
            </c:spPr>
          </c:dPt>
          <c:cat>
            <c:strRef>
              <c:f>Sheet5!$A$4:$A$515</c:f>
              <c:strCache>
                <c:ptCount val="511"/>
                <c:pt idx="0">
                  <c:v> $-   </c:v>
                </c:pt>
                <c:pt idx="1">
                  <c:v> $92.05 </c:v>
                </c:pt>
                <c:pt idx="2">
                  <c:v> $126.70 </c:v>
                </c:pt>
                <c:pt idx="3">
                  <c:v> $163.50 </c:v>
                </c:pt>
                <c:pt idx="4">
                  <c:v> $179.90 </c:v>
                </c:pt>
                <c:pt idx="5">
                  <c:v> $184.10 </c:v>
                </c:pt>
                <c:pt idx="6">
                  <c:v> $190.40 </c:v>
                </c:pt>
                <c:pt idx="7">
                  <c:v> $223.65 </c:v>
                </c:pt>
                <c:pt idx="8">
                  <c:v> $240.75 </c:v>
                </c:pt>
                <c:pt idx="9">
                  <c:v> $252.00 </c:v>
                </c:pt>
                <c:pt idx="10">
                  <c:v> $294.00 </c:v>
                </c:pt>
                <c:pt idx="11">
                  <c:v> $307.65 </c:v>
                </c:pt>
                <c:pt idx="12">
                  <c:v> $341.60 </c:v>
                </c:pt>
                <c:pt idx="13">
                  <c:v> $360.50 </c:v>
                </c:pt>
                <c:pt idx="14">
                  <c:v> $364.70 </c:v>
                </c:pt>
                <c:pt idx="15">
                  <c:v> $367.20 </c:v>
                </c:pt>
                <c:pt idx="16">
                  <c:v> $367.50 </c:v>
                </c:pt>
                <c:pt idx="17">
                  <c:v> $382.90 </c:v>
                </c:pt>
                <c:pt idx="18">
                  <c:v> $399.00 </c:v>
                </c:pt>
                <c:pt idx="19">
                  <c:v> $407.40 </c:v>
                </c:pt>
                <c:pt idx="20">
                  <c:v> $414.00 </c:v>
                </c:pt>
                <c:pt idx="21">
                  <c:v> $440.40 </c:v>
                </c:pt>
                <c:pt idx="22">
                  <c:v> $459.60 </c:v>
                </c:pt>
                <c:pt idx="23">
                  <c:v> $464.10 </c:v>
                </c:pt>
                <c:pt idx="24">
                  <c:v> $474.60 </c:v>
                </c:pt>
                <c:pt idx="25">
                  <c:v> $503.25 </c:v>
                </c:pt>
                <c:pt idx="26">
                  <c:v> $519.60 </c:v>
                </c:pt>
                <c:pt idx="27">
                  <c:v> $544.00 </c:v>
                </c:pt>
                <c:pt idx="28">
                  <c:v> $544.80 </c:v>
                </c:pt>
                <c:pt idx="29">
                  <c:v> $560.25 </c:v>
                </c:pt>
                <c:pt idx="30">
                  <c:v> $573.30 </c:v>
                </c:pt>
                <c:pt idx="31">
                  <c:v> $616.00 </c:v>
                </c:pt>
                <c:pt idx="32">
                  <c:v> $625.50 </c:v>
                </c:pt>
                <c:pt idx="33">
                  <c:v> $633.00 </c:v>
                </c:pt>
                <c:pt idx="34">
                  <c:v> $640.50 </c:v>
                </c:pt>
                <c:pt idx="35">
                  <c:v> $650.40 </c:v>
                </c:pt>
                <c:pt idx="36">
                  <c:v> $674.40 </c:v>
                </c:pt>
                <c:pt idx="37">
                  <c:v> $685.20 </c:v>
                </c:pt>
                <c:pt idx="38">
                  <c:v> $685.30 </c:v>
                </c:pt>
                <c:pt idx="39">
                  <c:v> $694.80 </c:v>
                </c:pt>
                <c:pt idx="40">
                  <c:v> $704.55 </c:v>
                </c:pt>
                <c:pt idx="41">
                  <c:v> $711.20 </c:v>
                </c:pt>
                <c:pt idx="42">
                  <c:v> $717.60 </c:v>
                </c:pt>
                <c:pt idx="43">
                  <c:v> $721.70 </c:v>
                </c:pt>
                <c:pt idx="44">
                  <c:v> $723.00 </c:v>
                </c:pt>
                <c:pt idx="45">
                  <c:v> $732.20 </c:v>
                </c:pt>
                <c:pt idx="46">
                  <c:v> $735.00 </c:v>
                </c:pt>
                <c:pt idx="47">
                  <c:v> $736.00 </c:v>
                </c:pt>
                <c:pt idx="48">
                  <c:v> $738.00 </c:v>
                </c:pt>
                <c:pt idx="49">
                  <c:v> $750.75 </c:v>
                </c:pt>
                <c:pt idx="50">
                  <c:v> $759.15 </c:v>
                </c:pt>
                <c:pt idx="51">
                  <c:v> $766.50 </c:v>
                </c:pt>
                <c:pt idx="52">
                  <c:v> $777.00 </c:v>
                </c:pt>
                <c:pt idx="53">
                  <c:v> $780.00 </c:v>
                </c:pt>
                <c:pt idx="54">
                  <c:v> $794.50 </c:v>
                </c:pt>
                <c:pt idx="55">
                  <c:v> $801.00 </c:v>
                </c:pt>
                <c:pt idx="56">
                  <c:v> $811.30 </c:v>
                </c:pt>
                <c:pt idx="57">
                  <c:v> $821.70 </c:v>
                </c:pt>
                <c:pt idx="58">
                  <c:v> $831.00 </c:v>
                </c:pt>
                <c:pt idx="59">
                  <c:v> $832.50 </c:v>
                </c:pt>
                <c:pt idx="60">
                  <c:v> $849.60 </c:v>
                </c:pt>
                <c:pt idx="61">
                  <c:v> $855.00 </c:v>
                </c:pt>
                <c:pt idx="62">
                  <c:v> $864.00 </c:v>
                </c:pt>
                <c:pt idx="63">
                  <c:v> $867.00 </c:v>
                </c:pt>
                <c:pt idx="64">
                  <c:v> $872.40 </c:v>
                </c:pt>
                <c:pt idx="65">
                  <c:v> $873.00 </c:v>
                </c:pt>
                <c:pt idx="66">
                  <c:v> $879.00 </c:v>
                </c:pt>
                <c:pt idx="67">
                  <c:v> $881.30 </c:v>
                </c:pt>
                <c:pt idx="68">
                  <c:v> $885.15 </c:v>
                </c:pt>
                <c:pt idx="69">
                  <c:v> $900.00 </c:v>
                </c:pt>
                <c:pt idx="70">
                  <c:v> $933.10 </c:v>
                </c:pt>
                <c:pt idx="71">
                  <c:v> $941.00 </c:v>
                </c:pt>
                <c:pt idx="72">
                  <c:v> $960.40 </c:v>
                </c:pt>
                <c:pt idx="73">
                  <c:v> $982.10 </c:v>
                </c:pt>
                <c:pt idx="74">
                  <c:v> $997.85 </c:v>
                </c:pt>
                <c:pt idx="75">
                  <c:v> $1,027.80 </c:v>
                </c:pt>
                <c:pt idx="76">
                  <c:v> $1,048.60 </c:v>
                </c:pt>
                <c:pt idx="77">
                  <c:v> $1,056.00 </c:v>
                </c:pt>
                <c:pt idx="78">
                  <c:v> $1,066.50 </c:v>
                </c:pt>
                <c:pt idx="79">
                  <c:v> $1,071.00 </c:v>
                </c:pt>
                <c:pt idx="80">
                  <c:v> $1,087.20 </c:v>
                </c:pt>
                <c:pt idx="81">
                  <c:v> $1,107.00 </c:v>
                </c:pt>
                <c:pt idx="82">
                  <c:v> $1,107.40 </c:v>
                </c:pt>
                <c:pt idx="83">
                  <c:v> $1,114.80 </c:v>
                </c:pt>
                <c:pt idx="84">
                  <c:v> $1,118.60 </c:v>
                </c:pt>
                <c:pt idx="85">
                  <c:v> $1,127.70 </c:v>
                </c:pt>
                <c:pt idx="86">
                  <c:v> $1,135.50 </c:v>
                </c:pt>
                <c:pt idx="87">
                  <c:v> $1,140.60 </c:v>
                </c:pt>
                <c:pt idx="88">
                  <c:v> $1,147.50 </c:v>
                </c:pt>
                <c:pt idx="89">
                  <c:v> $1,149.60 </c:v>
                </c:pt>
                <c:pt idx="90">
                  <c:v> $1,168.20 </c:v>
                </c:pt>
                <c:pt idx="91">
                  <c:v> $1,176.00 </c:v>
                </c:pt>
                <c:pt idx="92">
                  <c:v> $1,178.10 </c:v>
                </c:pt>
                <c:pt idx="93">
                  <c:v> $1,193.40 </c:v>
                </c:pt>
                <c:pt idx="94">
                  <c:v> $1,218.00 </c:v>
                </c:pt>
                <c:pt idx="95">
                  <c:v> $1,236.00 </c:v>
                </c:pt>
                <c:pt idx="96">
                  <c:v> $1,249.50 </c:v>
                </c:pt>
                <c:pt idx="97">
                  <c:v> $1,290.00 </c:v>
                </c:pt>
                <c:pt idx="98">
                  <c:v> $1,326.00 </c:v>
                </c:pt>
                <c:pt idx="99">
                  <c:v> $1,339.20 </c:v>
                </c:pt>
                <c:pt idx="100">
                  <c:v> $1,347.60 </c:v>
                </c:pt>
                <c:pt idx="101">
                  <c:v> $1,362.20 </c:v>
                </c:pt>
                <c:pt idx="102">
                  <c:v> $1,362.90 </c:v>
                </c:pt>
                <c:pt idx="103">
                  <c:v> $1,375.50 </c:v>
                </c:pt>
                <c:pt idx="104">
                  <c:v> $1,380.75 </c:v>
                </c:pt>
                <c:pt idx="105">
                  <c:v> $1,416.00 </c:v>
                </c:pt>
                <c:pt idx="106">
                  <c:v> $1,436.40 </c:v>
                </c:pt>
                <c:pt idx="107">
                  <c:v> $1,442.25 </c:v>
                </c:pt>
                <c:pt idx="108">
                  <c:v> $1,443.75 </c:v>
                </c:pt>
                <c:pt idx="109">
                  <c:v> $1,455.00 </c:v>
                </c:pt>
                <c:pt idx="110">
                  <c:v> $1,458.75 </c:v>
                </c:pt>
                <c:pt idx="111">
                  <c:v> $1,473.75 </c:v>
                </c:pt>
                <c:pt idx="112">
                  <c:v> $1,475.25 </c:v>
                </c:pt>
                <c:pt idx="113">
                  <c:v> $1,485.00 </c:v>
                </c:pt>
                <c:pt idx="114">
                  <c:v> $1,487.40 </c:v>
                </c:pt>
                <c:pt idx="115">
                  <c:v> $1,487.50 </c:v>
                </c:pt>
                <c:pt idx="116">
                  <c:v> $1,487.85 </c:v>
                </c:pt>
                <c:pt idx="117">
                  <c:v> $1,495.20 </c:v>
                </c:pt>
                <c:pt idx="118">
                  <c:v> $1,510.43 </c:v>
                </c:pt>
                <c:pt idx="119">
                  <c:v> $1,523.25 </c:v>
                </c:pt>
                <c:pt idx="120">
                  <c:v> $1,532.25 </c:v>
                </c:pt>
                <c:pt idx="121">
                  <c:v> $1,565.55 </c:v>
                </c:pt>
                <c:pt idx="122">
                  <c:v> $1,566.00 </c:v>
                </c:pt>
                <c:pt idx="123">
                  <c:v> $1,572.38 </c:v>
                </c:pt>
                <c:pt idx="124">
                  <c:v> $1,602.60 </c:v>
                </c:pt>
                <c:pt idx="125">
                  <c:v> $1,628.90 </c:v>
                </c:pt>
                <c:pt idx="126">
                  <c:v> $1,636.60 </c:v>
                </c:pt>
                <c:pt idx="127">
                  <c:v> $1,644.30 </c:v>
                </c:pt>
                <c:pt idx="128">
                  <c:v> $1,645.20 </c:v>
                </c:pt>
                <c:pt idx="129">
                  <c:v> $1,650.00 </c:v>
                </c:pt>
                <c:pt idx="130">
                  <c:v> $1,657.95 </c:v>
                </c:pt>
                <c:pt idx="131">
                  <c:v> $1,660.50 </c:v>
                </c:pt>
                <c:pt idx="132">
                  <c:v> $1,686.30 </c:v>
                </c:pt>
                <c:pt idx="133">
                  <c:v> $1,695.75 </c:v>
                </c:pt>
                <c:pt idx="134">
                  <c:v> $1,722.00 </c:v>
                </c:pt>
                <c:pt idx="135">
                  <c:v> $1,729.50 </c:v>
                </c:pt>
                <c:pt idx="136">
                  <c:v> $1,740.90 </c:v>
                </c:pt>
                <c:pt idx="137">
                  <c:v> $1,772.25 </c:v>
                </c:pt>
                <c:pt idx="138">
                  <c:v> $1,777.50 </c:v>
                </c:pt>
                <c:pt idx="139">
                  <c:v> $1,809.00 </c:v>
                </c:pt>
                <c:pt idx="140">
                  <c:v> $1,813.35 </c:v>
                </c:pt>
                <c:pt idx="141">
                  <c:v> $1,817.55 </c:v>
                </c:pt>
                <c:pt idx="142">
                  <c:v> $1,818.00 </c:v>
                </c:pt>
                <c:pt idx="143">
                  <c:v> $1,823.40 </c:v>
                </c:pt>
                <c:pt idx="144">
                  <c:v> $1,840.50 </c:v>
                </c:pt>
                <c:pt idx="145">
                  <c:v> $1,882.30 </c:v>
                </c:pt>
                <c:pt idx="146">
                  <c:v> $1,893.00 </c:v>
                </c:pt>
                <c:pt idx="147">
                  <c:v> $1,896.00 </c:v>
                </c:pt>
                <c:pt idx="148">
                  <c:v> $1,898.40 </c:v>
                </c:pt>
                <c:pt idx="149">
                  <c:v> $1,946.00 </c:v>
                </c:pt>
                <c:pt idx="150">
                  <c:v> $2,002.00 </c:v>
                </c:pt>
                <c:pt idx="151">
                  <c:v> $2,034.90 </c:v>
                </c:pt>
                <c:pt idx="152">
                  <c:v> $2,062.50 </c:v>
                </c:pt>
                <c:pt idx="153">
                  <c:v> $2,066.00 </c:v>
                </c:pt>
                <c:pt idx="154">
                  <c:v> $2,074.00 </c:v>
                </c:pt>
                <c:pt idx="155">
                  <c:v> $2,076.00 </c:v>
                </c:pt>
                <c:pt idx="156">
                  <c:v> $2,086.20 </c:v>
                </c:pt>
                <c:pt idx="157">
                  <c:v> $2,130.00 </c:v>
                </c:pt>
                <c:pt idx="158">
                  <c:v> $2,156.40 </c:v>
                </c:pt>
                <c:pt idx="159">
                  <c:v> $2,235.00 </c:v>
                </c:pt>
                <c:pt idx="160">
                  <c:v> $2,236.00 </c:v>
                </c:pt>
                <c:pt idx="161">
                  <c:v> $2,238.00 </c:v>
                </c:pt>
                <c:pt idx="162">
                  <c:v> $2,246.00 </c:v>
                </c:pt>
                <c:pt idx="163">
                  <c:v> $2,260.80 </c:v>
                </c:pt>
                <c:pt idx="164">
                  <c:v> $2,295.00 </c:v>
                </c:pt>
                <c:pt idx="165">
                  <c:v> $2,347.20 </c:v>
                </c:pt>
                <c:pt idx="166">
                  <c:v> $2,360.40 </c:v>
                </c:pt>
                <c:pt idx="167">
                  <c:v> $2,444.40 </c:v>
                </c:pt>
                <c:pt idx="168">
                  <c:v> $2,445.75 </c:v>
                </c:pt>
                <c:pt idx="169">
                  <c:v> $2,507.40 </c:v>
                </c:pt>
                <c:pt idx="170">
                  <c:v> $2,530.00 </c:v>
                </c:pt>
                <c:pt idx="171">
                  <c:v> $2,541.00 </c:v>
                </c:pt>
                <c:pt idx="172">
                  <c:v> $2,564.00 </c:v>
                </c:pt>
                <c:pt idx="173">
                  <c:v> $2,580.00 </c:v>
                </c:pt>
                <c:pt idx="174">
                  <c:v> $2,596.50 </c:v>
                </c:pt>
                <c:pt idx="175">
                  <c:v> $2,606.00 </c:v>
                </c:pt>
                <c:pt idx="176">
                  <c:v> $2,614.50 </c:v>
                </c:pt>
                <c:pt idx="177">
                  <c:v> $2,643.75 </c:v>
                </c:pt>
                <c:pt idx="178">
                  <c:v> $2,646.00 </c:v>
                </c:pt>
                <c:pt idx="179">
                  <c:v> $2,658.00 </c:v>
                </c:pt>
                <c:pt idx="180">
                  <c:v> $2,658.60 </c:v>
                </c:pt>
                <c:pt idx="181">
                  <c:v> $2,661.75 </c:v>
                </c:pt>
                <c:pt idx="182">
                  <c:v> $2,680.80 </c:v>
                </c:pt>
                <c:pt idx="183">
                  <c:v> $2,715.00 </c:v>
                </c:pt>
                <c:pt idx="184">
                  <c:v> $2,732.00 </c:v>
                </c:pt>
                <c:pt idx="185">
                  <c:v> $2,758.80 </c:v>
                </c:pt>
                <c:pt idx="186">
                  <c:v> $2,778.00 </c:v>
                </c:pt>
                <c:pt idx="187">
                  <c:v> $2,785.20 </c:v>
                </c:pt>
                <c:pt idx="188">
                  <c:v> $2,798.25 </c:v>
                </c:pt>
                <c:pt idx="189">
                  <c:v> $2,808.00 </c:v>
                </c:pt>
                <c:pt idx="190">
                  <c:v> $2,810.40 </c:v>
                </c:pt>
                <c:pt idx="191">
                  <c:v> $2,830.80 </c:v>
                </c:pt>
                <c:pt idx="192">
                  <c:v> $2,841.30 </c:v>
                </c:pt>
                <c:pt idx="193">
                  <c:v> $2,842.00 </c:v>
                </c:pt>
                <c:pt idx="194">
                  <c:v> $2,870.70 </c:v>
                </c:pt>
                <c:pt idx="195">
                  <c:v> $2,917.20 </c:v>
                </c:pt>
                <c:pt idx="196">
                  <c:v> $3,040.00 </c:v>
                </c:pt>
                <c:pt idx="197">
                  <c:v> $3,045.00 </c:v>
                </c:pt>
                <c:pt idx="198">
                  <c:v> $3,048.15 </c:v>
                </c:pt>
                <c:pt idx="199">
                  <c:v> $3,070.00 </c:v>
                </c:pt>
                <c:pt idx="200">
                  <c:v> $3,121.20 </c:v>
                </c:pt>
                <c:pt idx="201">
                  <c:v> $3,126.00 </c:v>
                </c:pt>
                <c:pt idx="202">
                  <c:v> $3,145.80 </c:v>
                </c:pt>
                <c:pt idx="203">
                  <c:v> $3,151.50 </c:v>
                </c:pt>
                <c:pt idx="204">
                  <c:v> $3,158.00 </c:v>
                </c:pt>
                <c:pt idx="205">
                  <c:v> $3,174.00 </c:v>
                </c:pt>
                <c:pt idx="206">
                  <c:v> $3,186.00 </c:v>
                </c:pt>
                <c:pt idx="207">
                  <c:v> $3,210.00 </c:v>
                </c:pt>
                <c:pt idx="208">
                  <c:v> $3,250.80 </c:v>
                </c:pt>
                <c:pt idx="209">
                  <c:v> $3,267.60 </c:v>
                </c:pt>
                <c:pt idx="210">
                  <c:v> $3,297.00 </c:v>
                </c:pt>
                <c:pt idx="211">
                  <c:v> $3,315.60 </c:v>
                </c:pt>
                <c:pt idx="212">
                  <c:v> $3,366.00 </c:v>
                </c:pt>
                <c:pt idx="213">
                  <c:v> $3,388.00 </c:v>
                </c:pt>
                <c:pt idx="214">
                  <c:v> $3,404.25 </c:v>
                </c:pt>
                <c:pt idx="215">
                  <c:v> $3,474.00 </c:v>
                </c:pt>
                <c:pt idx="216">
                  <c:v> $3,486.60 </c:v>
                </c:pt>
                <c:pt idx="217">
                  <c:v> $3,510.00 </c:v>
                </c:pt>
                <c:pt idx="218">
                  <c:v> $3,514.00 </c:v>
                </c:pt>
                <c:pt idx="219">
                  <c:v> $3,521.25 </c:v>
                </c:pt>
                <c:pt idx="220">
                  <c:v> $3,592.58 </c:v>
                </c:pt>
                <c:pt idx="221">
                  <c:v> $3,604.00 </c:v>
                </c:pt>
                <c:pt idx="222">
                  <c:v> $3,627.00 </c:v>
                </c:pt>
                <c:pt idx="223">
                  <c:v> $3,631.50 </c:v>
                </c:pt>
                <c:pt idx="224">
                  <c:v> $3,668.00 </c:v>
                </c:pt>
                <c:pt idx="225">
                  <c:v> $3,699.00 </c:v>
                </c:pt>
                <c:pt idx="226">
                  <c:v> $3,747.00 </c:v>
                </c:pt>
                <c:pt idx="227">
                  <c:v> $3,751.50 </c:v>
                </c:pt>
                <c:pt idx="228">
                  <c:v> $3,796.20 </c:v>
                </c:pt>
                <c:pt idx="229">
                  <c:v> $3,850.50 </c:v>
                </c:pt>
                <c:pt idx="230">
                  <c:v> $3,864.00 </c:v>
                </c:pt>
                <c:pt idx="231">
                  <c:v> $3,868.00 </c:v>
                </c:pt>
                <c:pt idx="232">
                  <c:v> $3,885.00 </c:v>
                </c:pt>
                <c:pt idx="233">
                  <c:v> $3,893.40 </c:v>
                </c:pt>
                <c:pt idx="234">
                  <c:v> $3,921.75 </c:v>
                </c:pt>
                <c:pt idx="235">
                  <c:v> $3,930.00 </c:v>
                </c:pt>
                <c:pt idx="236">
                  <c:v> $3,942.00 </c:v>
                </c:pt>
                <c:pt idx="237">
                  <c:v> $3,952.00 </c:v>
                </c:pt>
                <c:pt idx="238">
                  <c:v> $3,975.75 </c:v>
                </c:pt>
                <c:pt idx="239">
                  <c:v> $3,999.60 </c:v>
                </c:pt>
                <c:pt idx="240">
                  <c:v> $4,137.50 </c:v>
                </c:pt>
                <c:pt idx="241">
                  <c:v> $4,143.75 </c:v>
                </c:pt>
                <c:pt idx="242">
                  <c:v> $4,186.50 </c:v>
                </c:pt>
                <c:pt idx="243">
                  <c:v> $4,207.50 </c:v>
                </c:pt>
                <c:pt idx="244">
                  <c:v> $4,266.00 </c:v>
                </c:pt>
                <c:pt idx="245">
                  <c:v> $4,291.50 </c:v>
                </c:pt>
                <c:pt idx="246">
                  <c:v> $4,365.90 </c:v>
                </c:pt>
                <c:pt idx="247">
                  <c:v> $4,396.50 </c:v>
                </c:pt>
                <c:pt idx="248">
                  <c:v> $4,455.00 </c:v>
                </c:pt>
                <c:pt idx="249">
                  <c:v> $4,464.00 </c:v>
                </c:pt>
                <c:pt idx="250">
                  <c:v> $4,543.75 </c:v>
                </c:pt>
                <c:pt idx="251">
                  <c:v> $4,593.00 </c:v>
                </c:pt>
                <c:pt idx="252">
                  <c:v> $4,594.00 </c:v>
                </c:pt>
                <c:pt idx="253">
                  <c:v> $4,633.20 </c:v>
                </c:pt>
                <c:pt idx="254">
                  <c:v> $4,640.63 </c:v>
                </c:pt>
                <c:pt idx="255">
                  <c:v> $4,655.00 </c:v>
                </c:pt>
                <c:pt idx="256">
                  <c:v> $4,662.00 </c:v>
                </c:pt>
                <c:pt idx="257">
                  <c:v> $4,789.80 </c:v>
                </c:pt>
                <c:pt idx="258">
                  <c:v> $4,795.00 </c:v>
                </c:pt>
                <c:pt idx="259">
                  <c:v> $4,853.25 </c:v>
                </c:pt>
                <c:pt idx="260">
                  <c:v> $4,875.75 </c:v>
                </c:pt>
                <c:pt idx="261">
                  <c:v> $4,918.75 </c:v>
                </c:pt>
                <c:pt idx="262">
                  <c:v> $4,968.75 </c:v>
                </c:pt>
                <c:pt idx="263">
                  <c:v> $4,969.80 </c:v>
                </c:pt>
                <c:pt idx="264">
                  <c:v> $5,056.25 </c:v>
                </c:pt>
                <c:pt idx="265">
                  <c:v> $5,145.00 </c:v>
                </c:pt>
                <c:pt idx="266">
                  <c:v> $5,175.00 </c:v>
                </c:pt>
                <c:pt idx="267">
                  <c:v> $5,229.00 </c:v>
                </c:pt>
                <c:pt idx="268">
                  <c:v> $5,245.20 </c:v>
                </c:pt>
                <c:pt idx="269">
                  <c:v> $5,326.00 </c:v>
                </c:pt>
                <c:pt idx="270">
                  <c:v> $5,364.00 </c:v>
                </c:pt>
                <c:pt idx="271">
                  <c:v> $5,512.50 </c:v>
                </c:pt>
                <c:pt idx="272">
                  <c:v> $5,557.50 </c:v>
                </c:pt>
                <c:pt idx="273">
                  <c:v> $5,664.00 </c:v>
                </c:pt>
                <c:pt idx="274">
                  <c:v> $5,701.50 </c:v>
                </c:pt>
                <c:pt idx="275">
                  <c:v> $5,733.00 </c:v>
                </c:pt>
                <c:pt idx="276">
                  <c:v> $5,757.75 </c:v>
                </c:pt>
                <c:pt idx="277">
                  <c:v> $5,768.75 </c:v>
                </c:pt>
                <c:pt idx="278">
                  <c:v> $5,775.75 </c:v>
                </c:pt>
                <c:pt idx="279">
                  <c:v> $5,862.00 </c:v>
                </c:pt>
                <c:pt idx="280">
                  <c:v> $5,986.00 </c:v>
                </c:pt>
                <c:pt idx="281">
                  <c:v> $6,050.25 </c:v>
                </c:pt>
                <c:pt idx="282">
                  <c:v> $6,107.50 </c:v>
                </c:pt>
                <c:pt idx="283">
                  <c:v> $6,117.00 </c:v>
                </c:pt>
                <c:pt idx="284">
                  <c:v> $6,336.90 </c:v>
                </c:pt>
                <c:pt idx="285">
                  <c:v> $6,358.50 </c:v>
                </c:pt>
                <c:pt idx="286">
                  <c:v> $6,393.75 </c:v>
                </c:pt>
                <c:pt idx="287">
                  <c:v> $6,712.50 </c:v>
                </c:pt>
                <c:pt idx="288">
                  <c:v> $6,765.00 </c:v>
                </c:pt>
                <c:pt idx="289">
                  <c:v> $7,087.50 </c:v>
                </c:pt>
                <c:pt idx="290">
                  <c:v> $7,112.50 </c:v>
                </c:pt>
                <c:pt idx="291">
                  <c:v> $7,182.00 </c:v>
                </c:pt>
                <c:pt idx="292">
                  <c:v> $7,198.88 </c:v>
                </c:pt>
                <c:pt idx="293">
                  <c:v> $7,246.80 </c:v>
                </c:pt>
                <c:pt idx="294">
                  <c:v> $7,284.00 </c:v>
                </c:pt>
                <c:pt idx="295">
                  <c:v> $7,410.00 </c:v>
                </c:pt>
                <c:pt idx="296">
                  <c:v> $7,564.50 </c:v>
                </c:pt>
                <c:pt idx="297">
                  <c:v> $7,737.00 </c:v>
                </c:pt>
                <c:pt idx="298">
                  <c:v> $7,887.00 </c:v>
                </c:pt>
                <c:pt idx="299">
                  <c:v> $7,923.00 </c:v>
                </c:pt>
                <c:pt idx="300">
                  <c:v> $8,043.75 </c:v>
                </c:pt>
                <c:pt idx="301">
                  <c:v> $8,124.00 </c:v>
                </c:pt>
                <c:pt idx="302">
                  <c:v> $8,415.00 </c:v>
                </c:pt>
                <c:pt idx="303">
                  <c:v> $8,717.63 </c:v>
                </c:pt>
                <c:pt idx="304">
                  <c:v> $8,800.00 </c:v>
                </c:pt>
                <c:pt idx="305">
                  <c:v> $8,805.00 </c:v>
                </c:pt>
                <c:pt idx="306">
                  <c:v> $8,976.00 </c:v>
                </c:pt>
                <c:pt idx="307">
                  <c:v> $8,994.38 </c:v>
                </c:pt>
                <c:pt idx="308">
                  <c:v> $9,660.00 </c:v>
                </c:pt>
                <c:pt idx="309">
                  <c:v> $9,812.50 </c:v>
                </c:pt>
                <c:pt idx="310">
                  <c:v> $10,020.00 </c:v>
                </c:pt>
                <c:pt idx="311">
                  <c:v> $10,087.50 </c:v>
                </c:pt>
                <c:pt idx="312">
                  <c:v> $10,335.00 </c:v>
                </c:pt>
                <c:pt idx="313">
                  <c:v> $10,350.00 </c:v>
                </c:pt>
                <c:pt idx="314">
                  <c:v> $10,375.00 </c:v>
                </c:pt>
                <c:pt idx="315">
                  <c:v> $10,387.50 </c:v>
                </c:pt>
                <c:pt idx="316">
                  <c:v> $10,500.00 </c:v>
                </c:pt>
                <c:pt idx="317">
                  <c:v> $10,662.50 </c:v>
                </c:pt>
                <c:pt idx="318">
                  <c:v> $10,762.50 </c:v>
                </c:pt>
                <c:pt idx="319">
                  <c:v> $10,856.25 </c:v>
                </c:pt>
                <c:pt idx="320">
                  <c:v> $10,900.00 </c:v>
                </c:pt>
                <c:pt idx="321">
                  <c:v> $10,962.50 </c:v>
                </c:pt>
                <c:pt idx="322">
                  <c:v> $11,087.50 </c:v>
                </c:pt>
                <c:pt idx="323">
                  <c:v> $11,393.75 </c:v>
                </c:pt>
                <c:pt idx="324">
                  <c:v> $11,580.00 </c:v>
                </c:pt>
                <c:pt idx="325">
                  <c:v> $11,900.00 </c:v>
                </c:pt>
                <c:pt idx="326">
                  <c:v> $12,105.00 </c:v>
                </c:pt>
                <c:pt idx="327">
                  <c:v> $12,425.00 </c:v>
                </c:pt>
                <c:pt idx="328">
                  <c:v> $12,431.25 </c:v>
                </c:pt>
                <c:pt idx="329">
                  <c:v> $12,556.25 </c:v>
                </c:pt>
                <c:pt idx="330">
                  <c:v> $13,335.00 </c:v>
                </c:pt>
                <c:pt idx="331">
                  <c:v> $13,406.25 </c:v>
                </c:pt>
                <c:pt idx="332">
                  <c:v> $13,440.00 </c:v>
                </c:pt>
                <c:pt idx="333">
                  <c:v> $13,770.00 </c:v>
                </c:pt>
                <c:pt idx="334">
                  <c:v> $13,925.00 </c:v>
                </c:pt>
                <c:pt idx="335">
                  <c:v> $14,175.00 </c:v>
                </c:pt>
                <c:pt idx="336">
                  <c:v> $14,225.00 </c:v>
                </c:pt>
                <c:pt idx="337">
                  <c:v> $14,770.00 </c:v>
                </c:pt>
                <c:pt idx="338">
                  <c:v> $14,790.00 </c:v>
                </c:pt>
                <c:pt idx="339">
                  <c:v> $16,511.25 </c:v>
                </c:pt>
                <c:pt idx="340">
                  <c:v> $16,515.00 </c:v>
                </c:pt>
                <c:pt idx="341">
                  <c:v> $17,056.25 </c:v>
                </c:pt>
                <c:pt idx="342">
                  <c:v> $17,756.25 </c:v>
                </c:pt>
                <c:pt idx="343">
                  <c:v> $18,060.00 </c:v>
                </c:pt>
                <c:pt idx="344">
                  <c:v> $18,675.00 </c:v>
                </c:pt>
                <c:pt idx="345">
                  <c:v> $18,742.50 </c:v>
                </c:pt>
                <c:pt idx="346">
                  <c:v> $19,050.00 </c:v>
                </c:pt>
                <c:pt idx="347">
                  <c:v> $19,181.25 </c:v>
                </c:pt>
                <c:pt idx="348">
                  <c:v> $19,250.00 </c:v>
                </c:pt>
                <c:pt idx="349">
                  <c:v> $19,320.00 </c:v>
                </c:pt>
                <c:pt idx="350">
                  <c:v> $19,440.00 </c:v>
                </c:pt>
                <c:pt idx="351">
                  <c:v> $20,107.50 </c:v>
                </c:pt>
                <c:pt idx="352">
                  <c:v> $20,343.75 </c:v>
                </c:pt>
                <c:pt idx="353">
                  <c:v> $20,562.50 </c:v>
                </c:pt>
                <c:pt idx="354">
                  <c:v> $21,070.00 </c:v>
                </c:pt>
                <c:pt idx="355">
                  <c:v> $21,175.00 </c:v>
                </c:pt>
                <c:pt idx="356">
                  <c:v> $21,217.50 </c:v>
                </c:pt>
                <c:pt idx="357">
                  <c:v> $22,012.50 </c:v>
                </c:pt>
                <c:pt idx="358">
                  <c:v> $23,212.50 </c:v>
                </c:pt>
                <c:pt idx="359">
                  <c:v> $24,240.00 </c:v>
                </c:pt>
                <c:pt idx="360">
                  <c:v> $24,447.50 </c:v>
                </c:pt>
                <c:pt idx="361">
                  <c:v> $24,570.00 </c:v>
                </c:pt>
                <c:pt idx="362">
                  <c:v> $24,843.75 </c:v>
                </c:pt>
                <c:pt idx="363">
                  <c:v> $25,200.00 </c:v>
                </c:pt>
                <c:pt idx="364">
                  <c:v> $25,445.00 </c:v>
                </c:pt>
                <c:pt idx="365">
                  <c:v> $25,920.00 </c:v>
                </c:pt>
                <c:pt idx="366">
                  <c:v> $26,087.50 </c:v>
                </c:pt>
                <c:pt idx="367">
                  <c:v> $26,375.00 </c:v>
                </c:pt>
                <c:pt idx="368">
                  <c:v> $26,521.88 </c:v>
                </c:pt>
                <c:pt idx="369">
                  <c:v> $26,595.00 </c:v>
                </c:pt>
                <c:pt idx="370">
                  <c:v> $26,868.75 </c:v>
                </c:pt>
                <c:pt idx="371">
                  <c:v> $27,787.50 </c:v>
                </c:pt>
                <c:pt idx="372">
                  <c:v> $27,885.00 </c:v>
                </c:pt>
                <c:pt idx="373">
                  <c:v> $28,110.00 </c:v>
                </c:pt>
                <c:pt idx="374">
                  <c:v> $28,735.00 </c:v>
                </c:pt>
                <c:pt idx="375">
                  <c:v> $28,740.00 </c:v>
                </c:pt>
                <c:pt idx="376">
                  <c:v> $28,770.00 </c:v>
                </c:pt>
                <c:pt idx="377">
                  <c:v> $29,531.25 </c:v>
                </c:pt>
                <c:pt idx="378">
                  <c:v> $29,681.25 </c:v>
                </c:pt>
                <c:pt idx="379">
                  <c:v> $29,730.00 </c:v>
                </c:pt>
                <c:pt idx="380">
                  <c:v> $29,812.50 </c:v>
                </c:pt>
                <c:pt idx="381">
                  <c:v> $29,925.00 </c:v>
                </c:pt>
                <c:pt idx="382">
                  <c:v> $30,315.00 </c:v>
                </c:pt>
                <c:pt idx="383">
                  <c:v> $31,106.25 </c:v>
                </c:pt>
                <c:pt idx="384">
                  <c:v> $31,115.00 </c:v>
                </c:pt>
                <c:pt idx="385">
                  <c:v> $31,250.00 </c:v>
                </c:pt>
                <c:pt idx="386">
                  <c:v> $31,447.50 </c:v>
                </c:pt>
                <c:pt idx="387">
                  <c:v> $32,637.50 </c:v>
                </c:pt>
                <c:pt idx="388">
                  <c:v> $32,707.50 </c:v>
                </c:pt>
                <c:pt idx="389">
                  <c:v> $32,820.00 </c:v>
                </c:pt>
                <c:pt idx="390">
                  <c:v> $33,000.00 </c:v>
                </c:pt>
                <c:pt idx="391">
                  <c:v> $33,372.50 </c:v>
                </c:pt>
                <c:pt idx="392">
                  <c:v> $33,547.50 </c:v>
                </c:pt>
                <c:pt idx="393">
                  <c:v> $33,690.00 </c:v>
                </c:pt>
                <c:pt idx="394">
                  <c:v> $33,825.00 </c:v>
                </c:pt>
                <c:pt idx="395">
                  <c:v> $33,950.00 </c:v>
                </c:pt>
                <c:pt idx="396">
                  <c:v> $34,300.00 </c:v>
                </c:pt>
                <c:pt idx="397">
                  <c:v> $34,437.50 </c:v>
                </c:pt>
                <c:pt idx="398">
                  <c:v> $34,515.00 </c:v>
                </c:pt>
                <c:pt idx="399">
                  <c:v> $34,962.50 </c:v>
                </c:pt>
                <c:pt idx="400">
                  <c:v> $35,925.00 </c:v>
                </c:pt>
                <c:pt idx="401">
                  <c:v> $36,045.00 </c:v>
                </c:pt>
                <c:pt idx="402">
                  <c:v> $36,315.00 </c:v>
                </c:pt>
                <c:pt idx="403">
                  <c:v> $36,517.50 </c:v>
                </c:pt>
                <c:pt idx="404">
                  <c:v> $36,630.00 </c:v>
                </c:pt>
                <c:pt idx="405">
                  <c:v> $36,750.00 </c:v>
                </c:pt>
                <c:pt idx="406">
                  <c:v> $37,117.50 </c:v>
                </c:pt>
                <c:pt idx="407">
                  <c:v> $37,400.00 </c:v>
                </c:pt>
                <c:pt idx="408">
                  <c:v> $37,470.00 </c:v>
                </c:pt>
                <c:pt idx="409">
                  <c:v> $37,500.00 </c:v>
                </c:pt>
                <c:pt idx="410">
                  <c:v> $37,712.50 </c:v>
                </c:pt>
                <c:pt idx="411">
                  <c:v> $38,097.50 </c:v>
                </c:pt>
                <c:pt idx="412">
                  <c:v> $38,385.00 </c:v>
                </c:pt>
                <c:pt idx="413">
                  <c:v> $38,490.00 </c:v>
                </c:pt>
                <c:pt idx="414">
                  <c:v> $39,285.00 </c:v>
                </c:pt>
                <c:pt idx="415">
                  <c:v> $39,720.00 </c:v>
                </c:pt>
                <c:pt idx="416">
                  <c:v> $39,960.00 </c:v>
                </c:pt>
                <c:pt idx="417">
                  <c:v> $40,215.00 </c:v>
                </c:pt>
                <c:pt idx="418">
                  <c:v> $40,425.00 </c:v>
                </c:pt>
                <c:pt idx="419">
                  <c:v> $41,160.00 </c:v>
                </c:pt>
                <c:pt idx="420">
                  <c:v> $41,580.00 </c:v>
                </c:pt>
                <c:pt idx="421">
                  <c:v> $42,120.00 </c:v>
                </c:pt>
                <c:pt idx="422">
                  <c:v> $42,660.00 </c:v>
                </c:pt>
                <c:pt idx="423">
                  <c:v> $42,980.00 </c:v>
                </c:pt>
                <c:pt idx="424">
                  <c:v> $43,575.00 </c:v>
                </c:pt>
                <c:pt idx="425">
                  <c:v> $43,770.00 </c:v>
                </c:pt>
                <c:pt idx="426">
                  <c:v> $43,912.50 </c:v>
                </c:pt>
                <c:pt idx="427">
                  <c:v> $44,415.00 </c:v>
                </c:pt>
                <c:pt idx="428">
                  <c:v> $44,756.25 </c:v>
                </c:pt>
                <c:pt idx="429">
                  <c:v> $45,300.00 </c:v>
                </c:pt>
                <c:pt idx="430">
                  <c:v> $45,337.50 </c:v>
                </c:pt>
                <c:pt idx="431">
                  <c:v> $45,450.00 </c:v>
                </c:pt>
                <c:pt idx="432">
                  <c:v> $45,712.50 </c:v>
                </c:pt>
                <c:pt idx="433">
                  <c:v> $45,745.00 </c:v>
                </c:pt>
                <c:pt idx="434">
                  <c:v> $45,768.75 </c:v>
                </c:pt>
                <c:pt idx="435">
                  <c:v> $46,515.00 </c:v>
                </c:pt>
                <c:pt idx="436">
                  <c:v> $46,860.00 </c:v>
                </c:pt>
                <c:pt idx="437">
                  <c:v> $47,250.00 </c:v>
                </c:pt>
                <c:pt idx="438">
                  <c:v> $47,302.50 </c:v>
                </c:pt>
                <c:pt idx="439">
                  <c:v> $47,418.75 </c:v>
                </c:pt>
                <c:pt idx="440">
                  <c:v> $47,670.00 </c:v>
                </c:pt>
                <c:pt idx="441">
                  <c:v> $48,210.00 </c:v>
                </c:pt>
                <c:pt idx="442">
                  <c:v> $48,457.50 </c:v>
                </c:pt>
                <c:pt idx="443">
                  <c:v> $49,770.00 </c:v>
                </c:pt>
                <c:pt idx="444">
                  <c:v> $49,910.00 </c:v>
                </c:pt>
                <c:pt idx="445">
                  <c:v> $50,347.50 </c:v>
                </c:pt>
                <c:pt idx="446">
                  <c:v> $51,060.00 </c:v>
                </c:pt>
                <c:pt idx="447">
                  <c:v> $51,100.00 </c:v>
                </c:pt>
                <c:pt idx="448">
                  <c:v> $51,581.25 </c:v>
                </c:pt>
                <c:pt idx="449">
                  <c:v> $51,765.00 </c:v>
                </c:pt>
                <c:pt idx="450">
                  <c:v> $51,881.25 </c:v>
                </c:pt>
                <c:pt idx="451">
                  <c:v> $51,905.00 </c:v>
                </c:pt>
                <c:pt idx="452">
                  <c:v> $52,360.00 </c:v>
                </c:pt>
                <c:pt idx="453">
                  <c:v> $52,893.75 </c:v>
                </c:pt>
                <c:pt idx="454">
                  <c:v> $53,325.00 </c:v>
                </c:pt>
                <c:pt idx="455">
                  <c:v> $53,370.00 </c:v>
                </c:pt>
                <c:pt idx="456">
                  <c:v> $55,387.50 </c:v>
                </c:pt>
                <c:pt idx="457">
                  <c:v> $56,010.00 </c:v>
                </c:pt>
                <c:pt idx="458">
                  <c:v> $58,310.00 </c:v>
                </c:pt>
                <c:pt idx="459">
                  <c:v> $58,765.00 </c:v>
                </c:pt>
                <c:pt idx="460">
                  <c:v> $59,343.75 </c:v>
                </c:pt>
                <c:pt idx="461">
                  <c:v> $60,375.00 </c:v>
                </c:pt>
                <c:pt idx="462">
                  <c:v> $61,155.00 </c:v>
                </c:pt>
                <c:pt idx="463">
                  <c:v> $61,470.00 </c:v>
                </c:pt>
                <c:pt idx="464">
                  <c:v> $61,635.00 </c:v>
                </c:pt>
                <c:pt idx="465">
                  <c:v> $61,792.50 </c:v>
                </c:pt>
                <c:pt idx="466">
                  <c:v> $62,842.50 </c:v>
                </c:pt>
                <c:pt idx="467">
                  <c:v> $62,947.50 </c:v>
                </c:pt>
                <c:pt idx="468">
                  <c:v> $64,020.00 </c:v>
                </c:pt>
                <c:pt idx="469">
                  <c:v> $64,603.13 </c:v>
                </c:pt>
                <c:pt idx="470">
                  <c:v> $65,430.00 </c:v>
                </c:pt>
                <c:pt idx="471">
                  <c:v> $67,252.50 </c:v>
                </c:pt>
                <c:pt idx="472">
                  <c:v> $67,320.00 </c:v>
                </c:pt>
                <c:pt idx="473">
                  <c:v> $72,485.00 </c:v>
                </c:pt>
                <c:pt idx="474">
                  <c:v> $72,660.00 </c:v>
                </c:pt>
                <c:pt idx="475">
                  <c:v> $73,080.00 </c:v>
                </c:pt>
                <c:pt idx="476">
                  <c:v> $73,237.50 </c:v>
                </c:pt>
                <c:pt idx="477">
                  <c:v> $73,800.00 </c:v>
                </c:pt>
                <c:pt idx="478">
                  <c:v> $75,110.00 </c:v>
                </c:pt>
                <c:pt idx="479">
                  <c:v> $76,950.00 </c:v>
                </c:pt>
                <c:pt idx="480">
                  <c:v> $79,770.00 </c:v>
                </c:pt>
                <c:pt idx="481">
                  <c:v> $79,785.00 </c:v>
                </c:pt>
                <c:pt idx="482">
                  <c:v> $82,410.00 </c:v>
                </c:pt>
                <c:pt idx="483">
                  <c:v> $83,685.00 </c:v>
                </c:pt>
                <c:pt idx="484">
                  <c:v> $84,595.00 </c:v>
                </c:pt>
                <c:pt idx="485">
                  <c:v> $93,975.00 </c:v>
                </c:pt>
                <c:pt idx="486">
                  <c:v> $96,750.00 </c:v>
                </c:pt>
                <c:pt idx="487">
                  <c:v> $98,175.00 </c:v>
                </c:pt>
                <c:pt idx="488">
                  <c:v> $1,00,660.00 </c:v>
                </c:pt>
                <c:pt idx="489">
                  <c:v> $1,00,905.00 </c:v>
                </c:pt>
                <c:pt idx="490">
                  <c:v> $1,03,230.00 </c:v>
                </c:pt>
                <c:pt idx="491">
                  <c:v> $1,05,367.50 </c:v>
                </c:pt>
                <c:pt idx="492">
                  <c:v> $1,10,486.25 </c:v>
                </c:pt>
                <c:pt idx="493">
                  <c:v> $1,10,700.00 </c:v>
                </c:pt>
                <c:pt idx="494">
                  <c:v> $1,11,375.00 </c:v>
                </c:pt>
                <c:pt idx="495">
                  <c:v> $1,12,927.50 </c:v>
                </c:pt>
                <c:pt idx="496">
                  <c:v> $1,13,805.00 </c:v>
                </c:pt>
                <c:pt idx="497">
                  <c:v> $1,14,075.00 </c:v>
                </c:pt>
                <c:pt idx="498">
                  <c:v> $1,14,120.00 </c:v>
                </c:pt>
                <c:pt idx="499">
                  <c:v> $1,14,345.00 </c:v>
                </c:pt>
                <c:pt idx="500">
                  <c:v> $1,15,830.00 </c:v>
                </c:pt>
                <c:pt idx="501">
                  <c:v> $1,16,943.75 </c:v>
                </c:pt>
                <c:pt idx="502">
                  <c:v> $1,17,225.00 </c:v>
                </c:pt>
                <c:pt idx="503">
                  <c:v> $1,17,600.00 </c:v>
                </c:pt>
                <c:pt idx="504">
                  <c:v> $1,21,432.50 </c:v>
                </c:pt>
                <c:pt idx="505">
                  <c:v> $1,26,495.00 </c:v>
                </c:pt>
                <c:pt idx="506">
                  <c:v> $1,34,685.00 </c:v>
                </c:pt>
                <c:pt idx="507">
                  <c:v> $1,38,180.00 </c:v>
                </c:pt>
                <c:pt idx="508">
                  <c:v> $1,47,367.50 </c:v>
                </c:pt>
                <c:pt idx="509">
                  <c:v> $1,49,677.50 </c:v>
                </c:pt>
                <c:pt idx="510">
                  <c:v> $1,57,275.00 </c:v>
                </c:pt>
              </c:strCache>
            </c:strRef>
          </c:cat>
          <c:val>
            <c:numRef>
              <c:f>Sheet5!$B$4:$B$515</c:f>
              <c:numCache>
                <c:formatCode>_("$"* #,##0.00_);_("$"* \(#,##0.00\);_("$"* "-"??_);_(@_)</c:formatCode>
                <c:ptCount val="511"/>
                <c:pt idx="0">
                  <c:v>1736455</c:v>
                </c:pt>
                <c:pt idx="1">
                  <c:v>433.95000000000005</c:v>
                </c:pt>
                <c:pt idx="2">
                  <c:v>597.30000000000018</c:v>
                </c:pt>
                <c:pt idx="3">
                  <c:v>926.5</c:v>
                </c:pt>
                <c:pt idx="4">
                  <c:v>334.09999999999991</c:v>
                </c:pt>
                <c:pt idx="5">
                  <c:v>341.90000000000009</c:v>
                </c:pt>
                <c:pt idx="6">
                  <c:v>897.59999999999991</c:v>
                </c:pt>
                <c:pt idx="7">
                  <c:v>1054.3500000000004</c:v>
                </c:pt>
                <c:pt idx="8">
                  <c:v>1364.25</c:v>
                </c:pt>
                <c:pt idx="9">
                  <c:v>936</c:v>
                </c:pt>
                <c:pt idx="10">
                  <c:v>532</c:v>
                </c:pt>
                <c:pt idx="11">
                  <c:v>278.34999999999991</c:v>
                </c:pt>
                <c:pt idx="12">
                  <c:v>634.40000000000009</c:v>
                </c:pt>
                <c:pt idx="13">
                  <c:v>1699.5</c:v>
                </c:pt>
                <c:pt idx="14">
                  <c:v>1354.6000000000004</c:v>
                </c:pt>
                <c:pt idx="15">
                  <c:v>2386.8000000000002</c:v>
                </c:pt>
                <c:pt idx="16">
                  <c:v>857.5</c:v>
                </c:pt>
                <c:pt idx="17">
                  <c:v>711.09999999999991</c:v>
                </c:pt>
                <c:pt idx="18">
                  <c:v>1843</c:v>
                </c:pt>
                <c:pt idx="19">
                  <c:v>368.59999999999991</c:v>
                </c:pt>
                <c:pt idx="20">
                  <c:v>5796</c:v>
                </c:pt>
                <c:pt idx="21">
                  <c:v>5725.2</c:v>
                </c:pt>
                <c:pt idx="22">
                  <c:v>12868.8</c:v>
                </c:pt>
                <c:pt idx="23">
                  <c:v>2187.8999999999996</c:v>
                </c:pt>
                <c:pt idx="24">
                  <c:v>881.39999999999964</c:v>
                </c:pt>
                <c:pt idx="25">
                  <c:v>5703.5</c:v>
                </c:pt>
                <c:pt idx="26">
                  <c:v>7274.4</c:v>
                </c:pt>
                <c:pt idx="27">
                  <c:v>4896</c:v>
                </c:pt>
                <c:pt idx="28">
                  <c:v>7627.2000000000007</c:v>
                </c:pt>
                <c:pt idx="29">
                  <c:v>3174.75</c:v>
                </c:pt>
                <c:pt idx="30">
                  <c:v>1064.6999999999998</c:v>
                </c:pt>
                <c:pt idx="31">
                  <c:v>2904</c:v>
                </c:pt>
                <c:pt idx="32">
                  <c:v>764.5</c:v>
                </c:pt>
                <c:pt idx="33">
                  <c:v>17724</c:v>
                </c:pt>
                <c:pt idx="34">
                  <c:v>3019.5</c:v>
                </c:pt>
                <c:pt idx="35">
                  <c:v>18211.2</c:v>
                </c:pt>
                <c:pt idx="36">
                  <c:v>4383.6000000000004</c:v>
                </c:pt>
                <c:pt idx="37">
                  <c:v>19185.599999999999</c:v>
                </c:pt>
                <c:pt idx="38">
                  <c:v>3230.7000000000007</c:v>
                </c:pt>
                <c:pt idx="39">
                  <c:v>5558.4</c:v>
                </c:pt>
                <c:pt idx="40">
                  <c:v>3321.4500000000007</c:v>
                </c:pt>
                <c:pt idx="41">
                  <c:v>1320.8000000000002</c:v>
                </c:pt>
                <c:pt idx="42">
                  <c:v>4664.3999999999996</c:v>
                </c:pt>
                <c:pt idx="43">
                  <c:v>1340.3000000000002</c:v>
                </c:pt>
                <c:pt idx="44">
                  <c:v>3374</c:v>
                </c:pt>
                <c:pt idx="45">
                  <c:v>3451.7999999999993</c:v>
                </c:pt>
                <c:pt idx="46">
                  <c:v>1715</c:v>
                </c:pt>
                <c:pt idx="47">
                  <c:v>6624</c:v>
                </c:pt>
                <c:pt idx="48">
                  <c:v>5904</c:v>
                </c:pt>
                <c:pt idx="49">
                  <c:v>3539.25</c:v>
                </c:pt>
                <c:pt idx="50">
                  <c:v>686.85000000000036</c:v>
                </c:pt>
                <c:pt idx="51">
                  <c:v>1423.5</c:v>
                </c:pt>
                <c:pt idx="52">
                  <c:v>21756</c:v>
                </c:pt>
                <c:pt idx="53">
                  <c:v>1820</c:v>
                </c:pt>
                <c:pt idx="54">
                  <c:v>2951</c:v>
                </c:pt>
                <c:pt idx="55">
                  <c:v>3738</c:v>
                </c:pt>
                <c:pt idx="56">
                  <c:v>3013.3999999999996</c:v>
                </c:pt>
                <c:pt idx="57">
                  <c:v>11503.8</c:v>
                </c:pt>
                <c:pt idx="58">
                  <c:v>7479</c:v>
                </c:pt>
                <c:pt idx="59">
                  <c:v>1942.5</c:v>
                </c:pt>
                <c:pt idx="60">
                  <c:v>6796.7999999999993</c:v>
                </c:pt>
                <c:pt idx="61">
                  <c:v>1045</c:v>
                </c:pt>
                <c:pt idx="62">
                  <c:v>1056</c:v>
                </c:pt>
                <c:pt idx="63">
                  <c:v>12138</c:v>
                </c:pt>
                <c:pt idx="64">
                  <c:v>5670.6</c:v>
                </c:pt>
                <c:pt idx="65">
                  <c:v>3492</c:v>
                </c:pt>
                <c:pt idx="66">
                  <c:v>16408</c:v>
                </c:pt>
                <c:pt idx="67">
                  <c:v>1636.6999999999998</c:v>
                </c:pt>
                <c:pt idx="68">
                  <c:v>4172.8499999999985</c:v>
                </c:pt>
                <c:pt idx="69">
                  <c:v>3600</c:v>
                </c:pt>
                <c:pt idx="70">
                  <c:v>1732.8999999999996</c:v>
                </c:pt>
                <c:pt idx="71">
                  <c:v>8469</c:v>
                </c:pt>
                <c:pt idx="72">
                  <c:v>1783.6000000000004</c:v>
                </c:pt>
                <c:pt idx="73">
                  <c:v>3647.7999999999993</c:v>
                </c:pt>
                <c:pt idx="74">
                  <c:v>9408.3000000000029</c:v>
                </c:pt>
                <c:pt idx="75">
                  <c:v>4111.2</c:v>
                </c:pt>
                <c:pt idx="76">
                  <c:v>3894.7999999999993</c:v>
                </c:pt>
                <c:pt idx="77">
                  <c:v>16368</c:v>
                </c:pt>
                <c:pt idx="78">
                  <c:v>4977</c:v>
                </c:pt>
                <c:pt idx="79">
                  <c:v>14994</c:v>
                </c:pt>
                <c:pt idx="80">
                  <c:v>8697.6</c:v>
                </c:pt>
                <c:pt idx="81">
                  <c:v>1353</c:v>
                </c:pt>
                <c:pt idx="82">
                  <c:v>4113.2000000000007</c:v>
                </c:pt>
                <c:pt idx="83">
                  <c:v>15607.2</c:v>
                </c:pt>
                <c:pt idx="84">
                  <c:v>2077.3999999999996</c:v>
                </c:pt>
                <c:pt idx="85">
                  <c:v>2094.2999999999993</c:v>
                </c:pt>
                <c:pt idx="86">
                  <c:v>19303.5</c:v>
                </c:pt>
                <c:pt idx="87">
                  <c:v>31936.800000000003</c:v>
                </c:pt>
                <c:pt idx="88">
                  <c:v>1402.5</c:v>
                </c:pt>
                <c:pt idx="89">
                  <c:v>16094.400000000001</c:v>
                </c:pt>
                <c:pt idx="90">
                  <c:v>16354.8</c:v>
                </c:pt>
                <c:pt idx="91">
                  <c:v>4704</c:v>
                </c:pt>
                <c:pt idx="92">
                  <c:v>2187.8999999999996</c:v>
                </c:pt>
                <c:pt idx="93">
                  <c:v>16707.599999999999</c:v>
                </c:pt>
                <c:pt idx="94">
                  <c:v>4872</c:v>
                </c:pt>
                <c:pt idx="95">
                  <c:v>11124</c:v>
                </c:pt>
                <c:pt idx="96">
                  <c:v>2261</c:v>
                </c:pt>
                <c:pt idx="97">
                  <c:v>5160</c:v>
                </c:pt>
                <c:pt idx="98">
                  <c:v>8398</c:v>
                </c:pt>
                <c:pt idx="99">
                  <c:v>8704.7999999999993</c:v>
                </c:pt>
                <c:pt idx="100">
                  <c:v>8759.4</c:v>
                </c:pt>
                <c:pt idx="101">
                  <c:v>2529.7999999999993</c:v>
                </c:pt>
                <c:pt idx="102">
                  <c:v>1233.1000000000004</c:v>
                </c:pt>
                <c:pt idx="103">
                  <c:v>12379.5</c:v>
                </c:pt>
                <c:pt idx="104">
                  <c:v>6509.25</c:v>
                </c:pt>
                <c:pt idx="105">
                  <c:v>11328</c:v>
                </c:pt>
                <c:pt idx="106">
                  <c:v>1299.6000000000004</c:v>
                </c:pt>
                <c:pt idx="107">
                  <c:v>1762.75</c:v>
                </c:pt>
                <c:pt idx="108">
                  <c:v>8181.25</c:v>
                </c:pt>
                <c:pt idx="109">
                  <c:v>3395</c:v>
                </c:pt>
                <c:pt idx="110">
                  <c:v>16532.5</c:v>
                </c:pt>
                <c:pt idx="111">
                  <c:v>1801.25</c:v>
                </c:pt>
                <c:pt idx="112">
                  <c:v>8359.75</c:v>
                </c:pt>
                <c:pt idx="113">
                  <c:v>1815</c:v>
                </c:pt>
                <c:pt idx="114">
                  <c:v>20823.599999999999</c:v>
                </c:pt>
                <c:pt idx="115">
                  <c:v>2762.5</c:v>
                </c:pt>
                <c:pt idx="116">
                  <c:v>7014.1500000000015</c:v>
                </c:pt>
                <c:pt idx="117">
                  <c:v>2776.7999999999993</c:v>
                </c:pt>
                <c:pt idx="118">
                  <c:v>1366.5750000000007</c:v>
                </c:pt>
                <c:pt idx="119">
                  <c:v>19125.25</c:v>
                </c:pt>
                <c:pt idx="120">
                  <c:v>1872.75</c:v>
                </c:pt>
                <c:pt idx="121">
                  <c:v>1416.4500000000007</c:v>
                </c:pt>
                <c:pt idx="122">
                  <c:v>28188</c:v>
                </c:pt>
                <c:pt idx="123">
                  <c:v>7412.625</c:v>
                </c:pt>
                <c:pt idx="124">
                  <c:v>22436.400000000001</c:v>
                </c:pt>
                <c:pt idx="125">
                  <c:v>3025.1000000000004</c:v>
                </c:pt>
                <c:pt idx="126">
                  <c:v>6078.7999999999993</c:v>
                </c:pt>
                <c:pt idx="127">
                  <c:v>3053.7000000000007</c:v>
                </c:pt>
                <c:pt idx="128">
                  <c:v>13161.599999999999</c:v>
                </c:pt>
                <c:pt idx="129">
                  <c:v>10725</c:v>
                </c:pt>
                <c:pt idx="130">
                  <c:v>1500.0499999999993</c:v>
                </c:pt>
                <c:pt idx="131">
                  <c:v>9409.5</c:v>
                </c:pt>
                <c:pt idx="132">
                  <c:v>3131.7000000000007</c:v>
                </c:pt>
                <c:pt idx="133">
                  <c:v>9609.25</c:v>
                </c:pt>
                <c:pt idx="134">
                  <c:v>9758</c:v>
                </c:pt>
                <c:pt idx="135">
                  <c:v>8071</c:v>
                </c:pt>
                <c:pt idx="136">
                  <c:v>6466.2000000000007</c:v>
                </c:pt>
                <c:pt idx="137">
                  <c:v>10042.75</c:v>
                </c:pt>
                <c:pt idx="138">
                  <c:v>2172.5</c:v>
                </c:pt>
                <c:pt idx="139">
                  <c:v>7236</c:v>
                </c:pt>
                <c:pt idx="140">
                  <c:v>3281.2999999999993</c:v>
                </c:pt>
                <c:pt idx="141">
                  <c:v>3288.9000000000015</c:v>
                </c:pt>
                <c:pt idx="142">
                  <c:v>4242</c:v>
                </c:pt>
                <c:pt idx="143">
                  <c:v>14587.2</c:v>
                </c:pt>
                <c:pt idx="144">
                  <c:v>8589</c:v>
                </c:pt>
                <c:pt idx="145">
                  <c:v>6991.4000000000015</c:v>
                </c:pt>
                <c:pt idx="146">
                  <c:v>4417</c:v>
                </c:pt>
                <c:pt idx="147">
                  <c:v>12324</c:v>
                </c:pt>
                <c:pt idx="148">
                  <c:v>1717.6000000000004</c:v>
                </c:pt>
                <c:pt idx="149">
                  <c:v>7784</c:v>
                </c:pt>
                <c:pt idx="150">
                  <c:v>8008</c:v>
                </c:pt>
                <c:pt idx="151">
                  <c:v>7558.1999999999971</c:v>
                </c:pt>
                <c:pt idx="152">
                  <c:v>-412.5</c:v>
                </c:pt>
                <c:pt idx="153">
                  <c:v>8264</c:v>
                </c:pt>
                <c:pt idx="154">
                  <c:v>18666</c:v>
                </c:pt>
                <c:pt idx="155">
                  <c:v>16608</c:v>
                </c:pt>
                <c:pt idx="156">
                  <c:v>13560.3</c:v>
                </c:pt>
                <c:pt idx="157">
                  <c:v>13845</c:v>
                </c:pt>
                <c:pt idx="158">
                  <c:v>17251.2</c:v>
                </c:pt>
                <c:pt idx="159">
                  <c:v>8940</c:v>
                </c:pt>
                <c:pt idx="160">
                  <c:v>8944</c:v>
                </c:pt>
                <c:pt idx="161">
                  <c:v>14547</c:v>
                </c:pt>
                <c:pt idx="162">
                  <c:v>8984</c:v>
                </c:pt>
                <c:pt idx="163">
                  <c:v>14695.2</c:v>
                </c:pt>
                <c:pt idx="164">
                  <c:v>5355</c:v>
                </c:pt>
                <c:pt idx="165">
                  <c:v>15256.8</c:v>
                </c:pt>
                <c:pt idx="166">
                  <c:v>15342.599999999999</c:v>
                </c:pt>
                <c:pt idx="167">
                  <c:v>2211.6000000000004</c:v>
                </c:pt>
                <c:pt idx="168">
                  <c:v>5706.75</c:v>
                </c:pt>
                <c:pt idx="169">
                  <c:v>20059.2</c:v>
                </c:pt>
                <c:pt idx="170">
                  <c:v>10120</c:v>
                </c:pt>
                <c:pt idx="171">
                  <c:v>2299</c:v>
                </c:pt>
                <c:pt idx="172">
                  <c:v>20512</c:v>
                </c:pt>
                <c:pt idx="173">
                  <c:v>23220</c:v>
                </c:pt>
                <c:pt idx="174">
                  <c:v>6058.5</c:v>
                </c:pt>
                <c:pt idx="175">
                  <c:v>10424</c:v>
                </c:pt>
                <c:pt idx="176">
                  <c:v>6100.5</c:v>
                </c:pt>
                <c:pt idx="177">
                  <c:v>6462.5</c:v>
                </c:pt>
                <c:pt idx="178">
                  <c:v>23814</c:v>
                </c:pt>
                <c:pt idx="179">
                  <c:v>17277</c:v>
                </c:pt>
                <c:pt idx="180">
                  <c:v>2405.3999999999996</c:v>
                </c:pt>
                <c:pt idx="181">
                  <c:v>2408.25</c:v>
                </c:pt>
                <c:pt idx="182">
                  <c:v>17425.2</c:v>
                </c:pt>
                <c:pt idx="183">
                  <c:v>12670</c:v>
                </c:pt>
                <c:pt idx="184">
                  <c:v>21856</c:v>
                </c:pt>
                <c:pt idx="185">
                  <c:v>35864.400000000001</c:v>
                </c:pt>
                <c:pt idx="186">
                  <c:v>22224</c:v>
                </c:pt>
                <c:pt idx="187">
                  <c:v>18103.8</c:v>
                </c:pt>
                <c:pt idx="188">
                  <c:v>2531.75</c:v>
                </c:pt>
                <c:pt idx="189">
                  <c:v>18252</c:v>
                </c:pt>
                <c:pt idx="190">
                  <c:v>36535.199999999997</c:v>
                </c:pt>
                <c:pt idx="191">
                  <c:v>2561.2000000000007</c:v>
                </c:pt>
                <c:pt idx="192">
                  <c:v>2570.7000000000007</c:v>
                </c:pt>
                <c:pt idx="193">
                  <c:v>11368</c:v>
                </c:pt>
                <c:pt idx="194">
                  <c:v>5194.5999999999985</c:v>
                </c:pt>
                <c:pt idx="195">
                  <c:v>37923.599999999999</c:v>
                </c:pt>
                <c:pt idx="196">
                  <c:v>12160</c:v>
                </c:pt>
                <c:pt idx="197">
                  <c:v>7105</c:v>
                </c:pt>
                <c:pt idx="198">
                  <c:v>2757.8499999999985</c:v>
                </c:pt>
                <c:pt idx="199">
                  <c:v>12280</c:v>
                </c:pt>
                <c:pt idx="200">
                  <c:v>12484.8</c:v>
                </c:pt>
                <c:pt idx="201">
                  <c:v>12504</c:v>
                </c:pt>
                <c:pt idx="202">
                  <c:v>5692.4000000000015</c:v>
                </c:pt>
                <c:pt idx="203">
                  <c:v>7353.5</c:v>
                </c:pt>
                <c:pt idx="204">
                  <c:v>12632</c:v>
                </c:pt>
                <c:pt idx="205">
                  <c:v>7406</c:v>
                </c:pt>
                <c:pt idx="206">
                  <c:v>12744</c:v>
                </c:pt>
                <c:pt idx="207">
                  <c:v>14980</c:v>
                </c:pt>
                <c:pt idx="208">
                  <c:v>13003.2</c:v>
                </c:pt>
                <c:pt idx="209">
                  <c:v>21239.4</c:v>
                </c:pt>
                <c:pt idx="210">
                  <c:v>7693</c:v>
                </c:pt>
                <c:pt idx="211">
                  <c:v>21551.4</c:v>
                </c:pt>
                <c:pt idx="212">
                  <c:v>7854</c:v>
                </c:pt>
                <c:pt idx="213">
                  <c:v>13552</c:v>
                </c:pt>
                <c:pt idx="214">
                  <c:v>4160.75</c:v>
                </c:pt>
                <c:pt idx="215">
                  <c:v>8106</c:v>
                </c:pt>
                <c:pt idx="216">
                  <c:v>13946.400000000001</c:v>
                </c:pt>
                <c:pt idx="217">
                  <c:v>4290</c:v>
                </c:pt>
                <c:pt idx="218">
                  <c:v>28112</c:v>
                </c:pt>
                <c:pt idx="219">
                  <c:v>8607.5</c:v>
                </c:pt>
                <c:pt idx="220">
                  <c:v>3250.4249999999993</c:v>
                </c:pt>
                <c:pt idx="221">
                  <c:v>14416</c:v>
                </c:pt>
                <c:pt idx="222">
                  <c:v>14508</c:v>
                </c:pt>
                <c:pt idx="223">
                  <c:v>4438.5</c:v>
                </c:pt>
                <c:pt idx="224">
                  <c:v>14672</c:v>
                </c:pt>
                <c:pt idx="225">
                  <c:v>17262</c:v>
                </c:pt>
                <c:pt idx="226">
                  <c:v>17486</c:v>
                </c:pt>
                <c:pt idx="227">
                  <c:v>8753.5</c:v>
                </c:pt>
                <c:pt idx="228">
                  <c:v>15184.8</c:v>
                </c:pt>
                <c:pt idx="229">
                  <c:v>34654.5</c:v>
                </c:pt>
                <c:pt idx="230">
                  <c:v>34776</c:v>
                </c:pt>
                <c:pt idx="231">
                  <c:v>15472</c:v>
                </c:pt>
                <c:pt idx="232">
                  <c:v>9065</c:v>
                </c:pt>
                <c:pt idx="233">
                  <c:v>25307.1</c:v>
                </c:pt>
                <c:pt idx="234">
                  <c:v>9586.5</c:v>
                </c:pt>
                <c:pt idx="235">
                  <c:v>9170</c:v>
                </c:pt>
                <c:pt idx="236">
                  <c:v>9198</c:v>
                </c:pt>
                <c:pt idx="237">
                  <c:v>31616</c:v>
                </c:pt>
                <c:pt idx="238">
                  <c:v>4859.25</c:v>
                </c:pt>
                <c:pt idx="239">
                  <c:v>15998.400000000001</c:v>
                </c:pt>
                <c:pt idx="240">
                  <c:v>-1655</c:v>
                </c:pt>
                <c:pt idx="241">
                  <c:v>-1657.5</c:v>
                </c:pt>
                <c:pt idx="242">
                  <c:v>9768.5</c:v>
                </c:pt>
                <c:pt idx="243">
                  <c:v>5142.5</c:v>
                </c:pt>
                <c:pt idx="244">
                  <c:v>19908</c:v>
                </c:pt>
                <c:pt idx="245">
                  <c:v>10013.5</c:v>
                </c:pt>
                <c:pt idx="246">
                  <c:v>17463.599999999999</c:v>
                </c:pt>
                <c:pt idx="247">
                  <c:v>10258.5</c:v>
                </c:pt>
                <c:pt idx="248">
                  <c:v>17820</c:v>
                </c:pt>
                <c:pt idx="249">
                  <c:v>5456</c:v>
                </c:pt>
                <c:pt idx="250">
                  <c:v>-1817.5</c:v>
                </c:pt>
                <c:pt idx="251">
                  <c:v>21434</c:v>
                </c:pt>
                <c:pt idx="252">
                  <c:v>18376</c:v>
                </c:pt>
                <c:pt idx="253">
                  <c:v>18532.8</c:v>
                </c:pt>
                <c:pt idx="254">
                  <c:v>-928.125</c:v>
                </c:pt>
                <c:pt idx="255">
                  <c:v>19285</c:v>
                </c:pt>
                <c:pt idx="256">
                  <c:v>11396</c:v>
                </c:pt>
                <c:pt idx="257">
                  <c:v>19159.2</c:v>
                </c:pt>
                <c:pt idx="258">
                  <c:v>39730</c:v>
                </c:pt>
                <c:pt idx="259">
                  <c:v>11863.5</c:v>
                </c:pt>
                <c:pt idx="260">
                  <c:v>11918.5</c:v>
                </c:pt>
                <c:pt idx="261">
                  <c:v>-1967.5</c:v>
                </c:pt>
                <c:pt idx="262">
                  <c:v>-993.75</c:v>
                </c:pt>
                <c:pt idx="263">
                  <c:v>19879.2</c:v>
                </c:pt>
                <c:pt idx="264">
                  <c:v>-2022.5</c:v>
                </c:pt>
                <c:pt idx="265">
                  <c:v>24010</c:v>
                </c:pt>
                <c:pt idx="266">
                  <c:v>12650</c:v>
                </c:pt>
                <c:pt idx="267">
                  <c:v>12201</c:v>
                </c:pt>
                <c:pt idx="268">
                  <c:v>41961.599999999999</c:v>
                </c:pt>
                <c:pt idx="269">
                  <c:v>42608</c:v>
                </c:pt>
                <c:pt idx="270">
                  <c:v>21456</c:v>
                </c:pt>
                <c:pt idx="271">
                  <c:v>12862.5</c:v>
                </c:pt>
                <c:pt idx="272">
                  <c:v>6792.5</c:v>
                </c:pt>
                <c:pt idx="273">
                  <c:v>22656</c:v>
                </c:pt>
                <c:pt idx="274">
                  <c:v>13303.5</c:v>
                </c:pt>
                <c:pt idx="275">
                  <c:v>7007</c:v>
                </c:pt>
                <c:pt idx="276">
                  <c:v>7037.25</c:v>
                </c:pt>
                <c:pt idx="277">
                  <c:v>-1153.75</c:v>
                </c:pt>
                <c:pt idx="278">
                  <c:v>14118.5</c:v>
                </c:pt>
                <c:pt idx="279">
                  <c:v>13678</c:v>
                </c:pt>
                <c:pt idx="280">
                  <c:v>23944</c:v>
                </c:pt>
                <c:pt idx="281">
                  <c:v>7394.75</c:v>
                </c:pt>
                <c:pt idx="282">
                  <c:v>25302.5</c:v>
                </c:pt>
                <c:pt idx="283">
                  <c:v>14273</c:v>
                </c:pt>
                <c:pt idx="284">
                  <c:v>25347.599999999999</c:v>
                </c:pt>
                <c:pt idx="285">
                  <c:v>7771.5</c:v>
                </c:pt>
                <c:pt idx="286">
                  <c:v>-4688.75</c:v>
                </c:pt>
                <c:pt idx="287">
                  <c:v>-1342.5</c:v>
                </c:pt>
                <c:pt idx="288">
                  <c:v>15785</c:v>
                </c:pt>
                <c:pt idx="289">
                  <c:v>-4252.5</c:v>
                </c:pt>
                <c:pt idx="290">
                  <c:v>-2845</c:v>
                </c:pt>
                <c:pt idx="291">
                  <c:v>16758</c:v>
                </c:pt>
                <c:pt idx="292">
                  <c:v>8798.625</c:v>
                </c:pt>
                <c:pt idx="293">
                  <c:v>28987.199999999997</c:v>
                </c:pt>
                <c:pt idx="294">
                  <c:v>16996</c:v>
                </c:pt>
                <c:pt idx="295">
                  <c:v>34580</c:v>
                </c:pt>
                <c:pt idx="296">
                  <c:v>17650.5</c:v>
                </c:pt>
                <c:pt idx="297">
                  <c:v>18053</c:v>
                </c:pt>
                <c:pt idx="298">
                  <c:v>18403</c:v>
                </c:pt>
                <c:pt idx="299">
                  <c:v>18487</c:v>
                </c:pt>
                <c:pt idx="300">
                  <c:v>-3217.5</c:v>
                </c:pt>
                <c:pt idx="301">
                  <c:v>18956</c:v>
                </c:pt>
                <c:pt idx="302">
                  <c:v>19635</c:v>
                </c:pt>
                <c:pt idx="303">
                  <c:v>10654.875</c:v>
                </c:pt>
                <c:pt idx="304">
                  <c:v>-10560</c:v>
                </c:pt>
                <c:pt idx="305">
                  <c:v>20545</c:v>
                </c:pt>
                <c:pt idx="306">
                  <c:v>41888</c:v>
                </c:pt>
                <c:pt idx="307">
                  <c:v>10993.125</c:v>
                </c:pt>
                <c:pt idx="308">
                  <c:v>6440</c:v>
                </c:pt>
                <c:pt idx="309">
                  <c:v>-3925</c:v>
                </c:pt>
                <c:pt idx="310">
                  <c:v>6680</c:v>
                </c:pt>
                <c:pt idx="311">
                  <c:v>-6052.5</c:v>
                </c:pt>
                <c:pt idx="312">
                  <c:v>48230</c:v>
                </c:pt>
                <c:pt idx="313">
                  <c:v>-7590</c:v>
                </c:pt>
                <c:pt idx="314">
                  <c:v>-2075</c:v>
                </c:pt>
                <c:pt idx="315">
                  <c:v>-7617.5</c:v>
                </c:pt>
                <c:pt idx="316">
                  <c:v>7500</c:v>
                </c:pt>
                <c:pt idx="317">
                  <c:v>-4265</c:v>
                </c:pt>
                <c:pt idx="318">
                  <c:v>-12915</c:v>
                </c:pt>
                <c:pt idx="319">
                  <c:v>-7961.25</c:v>
                </c:pt>
                <c:pt idx="320">
                  <c:v>-2180</c:v>
                </c:pt>
                <c:pt idx="321">
                  <c:v>-6577.5</c:v>
                </c:pt>
                <c:pt idx="322">
                  <c:v>-8870</c:v>
                </c:pt>
                <c:pt idx="323">
                  <c:v>-2278.75</c:v>
                </c:pt>
                <c:pt idx="324">
                  <c:v>7720</c:v>
                </c:pt>
                <c:pt idx="325">
                  <c:v>-7140</c:v>
                </c:pt>
                <c:pt idx="326">
                  <c:v>2690</c:v>
                </c:pt>
                <c:pt idx="327">
                  <c:v>-7455</c:v>
                </c:pt>
                <c:pt idx="328">
                  <c:v>-9116.25</c:v>
                </c:pt>
                <c:pt idx="329">
                  <c:v>-5022.5</c:v>
                </c:pt>
                <c:pt idx="330">
                  <c:v>20955</c:v>
                </c:pt>
                <c:pt idx="331">
                  <c:v>-5362.5</c:v>
                </c:pt>
                <c:pt idx="332">
                  <c:v>17920</c:v>
                </c:pt>
                <c:pt idx="333">
                  <c:v>32130</c:v>
                </c:pt>
                <c:pt idx="334">
                  <c:v>-8355</c:v>
                </c:pt>
                <c:pt idx="335">
                  <c:v>10125</c:v>
                </c:pt>
                <c:pt idx="336">
                  <c:v>-2845</c:v>
                </c:pt>
                <c:pt idx="337">
                  <c:v>23210</c:v>
                </c:pt>
                <c:pt idx="338">
                  <c:v>34510</c:v>
                </c:pt>
                <c:pt idx="339">
                  <c:v>68403.75</c:v>
                </c:pt>
                <c:pt idx="340">
                  <c:v>38535</c:v>
                </c:pt>
                <c:pt idx="341">
                  <c:v>-6822.5</c:v>
                </c:pt>
                <c:pt idx="342">
                  <c:v>-13021.25</c:v>
                </c:pt>
                <c:pt idx="343">
                  <c:v>25800</c:v>
                </c:pt>
                <c:pt idx="344">
                  <c:v>-3735</c:v>
                </c:pt>
                <c:pt idx="345">
                  <c:v>13387.5</c:v>
                </c:pt>
                <c:pt idx="346">
                  <c:v>25400</c:v>
                </c:pt>
                <c:pt idx="347">
                  <c:v>-14066.25</c:v>
                </c:pt>
                <c:pt idx="348">
                  <c:v>-11550</c:v>
                </c:pt>
                <c:pt idx="349">
                  <c:v>30360</c:v>
                </c:pt>
                <c:pt idx="350">
                  <c:v>2160</c:v>
                </c:pt>
                <c:pt idx="351">
                  <c:v>31597.5</c:v>
                </c:pt>
                <c:pt idx="352">
                  <c:v>-29837.5</c:v>
                </c:pt>
                <c:pt idx="353">
                  <c:v>-12337.5</c:v>
                </c:pt>
                <c:pt idx="354">
                  <c:v>66220</c:v>
                </c:pt>
                <c:pt idx="355">
                  <c:v>87725</c:v>
                </c:pt>
                <c:pt idx="356">
                  <c:v>49507.5</c:v>
                </c:pt>
                <c:pt idx="357">
                  <c:v>-16142.5</c:v>
                </c:pt>
                <c:pt idx="358">
                  <c:v>-13927.5</c:v>
                </c:pt>
                <c:pt idx="359">
                  <c:v>16160</c:v>
                </c:pt>
                <c:pt idx="360">
                  <c:v>202565</c:v>
                </c:pt>
                <c:pt idx="361">
                  <c:v>5460</c:v>
                </c:pt>
                <c:pt idx="362">
                  <c:v>-14906.25</c:v>
                </c:pt>
                <c:pt idx="363">
                  <c:v>39600</c:v>
                </c:pt>
                <c:pt idx="364">
                  <c:v>79970</c:v>
                </c:pt>
                <c:pt idx="365">
                  <c:v>60480</c:v>
                </c:pt>
                <c:pt idx="366">
                  <c:v>-15652.5</c:v>
                </c:pt>
                <c:pt idx="367">
                  <c:v>-15825</c:v>
                </c:pt>
                <c:pt idx="368">
                  <c:v>-5304.375</c:v>
                </c:pt>
                <c:pt idx="369">
                  <c:v>2955</c:v>
                </c:pt>
                <c:pt idx="370">
                  <c:v>-19703.75</c:v>
                </c:pt>
                <c:pt idx="371">
                  <c:v>-20377.5</c:v>
                </c:pt>
                <c:pt idx="372">
                  <c:v>65065</c:v>
                </c:pt>
                <c:pt idx="373">
                  <c:v>65590</c:v>
                </c:pt>
                <c:pt idx="374">
                  <c:v>119045</c:v>
                </c:pt>
                <c:pt idx="375">
                  <c:v>134120</c:v>
                </c:pt>
                <c:pt idx="376">
                  <c:v>19180</c:v>
                </c:pt>
                <c:pt idx="377">
                  <c:v>-21656.25</c:v>
                </c:pt>
                <c:pt idx="378">
                  <c:v>-43532.5</c:v>
                </c:pt>
                <c:pt idx="379">
                  <c:v>39640</c:v>
                </c:pt>
                <c:pt idx="380">
                  <c:v>-17887.5</c:v>
                </c:pt>
                <c:pt idx="381">
                  <c:v>-21945</c:v>
                </c:pt>
                <c:pt idx="382">
                  <c:v>141470</c:v>
                </c:pt>
                <c:pt idx="383">
                  <c:v>-22811.25</c:v>
                </c:pt>
                <c:pt idx="384">
                  <c:v>128905</c:v>
                </c:pt>
                <c:pt idx="385">
                  <c:v>-18750</c:v>
                </c:pt>
                <c:pt idx="386">
                  <c:v>130282.5</c:v>
                </c:pt>
                <c:pt idx="387">
                  <c:v>135212.5</c:v>
                </c:pt>
                <c:pt idx="388">
                  <c:v>23362.5</c:v>
                </c:pt>
                <c:pt idx="389">
                  <c:v>43760</c:v>
                </c:pt>
                <c:pt idx="390">
                  <c:v>22000</c:v>
                </c:pt>
                <c:pt idx="391">
                  <c:v>138257.5</c:v>
                </c:pt>
                <c:pt idx="392">
                  <c:v>23962.5</c:v>
                </c:pt>
                <c:pt idx="393">
                  <c:v>22460</c:v>
                </c:pt>
                <c:pt idx="394">
                  <c:v>-24805</c:v>
                </c:pt>
                <c:pt idx="395">
                  <c:v>140650</c:v>
                </c:pt>
                <c:pt idx="396">
                  <c:v>53900</c:v>
                </c:pt>
                <c:pt idx="397">
                  <c:v>-20662.5</c:v>
                </c:pt>
                <c:pt idx="398">
                  <c:v>80535</c:v>
                </c:pt>
                <c:pt idx="399">
                  <c:v>-41955</c:v>
                </c:pt>
                <c:pt idx="400">
                  <c:v>-26345</c:v>
                </c:pt>
                <c:pt idx="401">
                  <c:v>4005</c:v>
                </c:pt>
                <c:pt idx="402">
                  <c:v>4035</c:v>
                </c:pt>
                <c:pt idx="403">
                  <c:v>85207.5</c:v>
                </c:pt>
                <c:pt idx="404">
                  <c:v>48840</c:v>
                </c:pt>
                <c:pt idx="405">
                  <c:v>26250</c:v>
                </c:pt>
                <c:pt idx="406">
                  <c:v>26512.5</c:v>
                </c:pt>
                <c:pt idx="407">
                  <c:v>-22440</c:v>
                </c:pt>
                <c:pt idx="408">
                  <c:v>87430</c:v>
                </c:pt>
                <c:pt idx="409">
                  <c:v>50000</c:v>
                </c:pt>
                <c:pt idx="410">
                  <c:v>312475</c:v>
                </c:pt>
                <c:pt idx="411">
                  <c:v>315665</c:v>
                </c:pt>
                <c:pt idx="412">
                  <c:v>8530</c:v>
                </c:pt>
                <c:pt idx="413">
                  <c:v>25660</c:v>
                </c:pt>
                <c:pt idx="414">
                  <c:v>4365</c:v>
                </c:pt>
                <c:pt idx="415">
                  <c:v>26480</c:v>
                </c:pt>
                <c:pt idx="416">
                  <c:v>4440</c:v>
                </c:pt>
                <c:pt idx="417">
                  <c:v>28725</c:v>
                </c:pt>
                <c:pt idx="418">
                  <c:v>-59290</c:v>
                </c:pt>
                <c:pt idx="419">
                  <c:v>54880</c:v>
                </c:pt>
                <c:pt idx="420">
                  <c:v>29700</c:v>
                </c:pt>
                <c:pt idx="421">
                  <c:v>28080</c:v>
                </c:pt>
                <c:pt idx="422">
                  <c:v>99540</c:v>
                </c:pt>
                <c:pt idx="423">
                  <c:v>135080</c:v>
                </c:pt>
                <c:pt idx="424">
                  <c:v>101675</c:v>
                </c:pt>
                <c:pt idx="425">
                  <c:v>102130</c:v>
                </c:pt>
                <c:pt idx="426">
                  <c:v>-26347.5</c:v>
                </c:pt>
                <c:pt idx="427">
                  <c:v>139590</c:v>
                </c:pt>
                <c:pt idx="428">
                  <c:v>-32821.25</c:v>
                </c:pt>
                <c:pt idx="429">
                  <c:v>-33220</c:v>
                </c:pt>
                <c:pt idx="430">
                  <c:v>-27202.5</c:v>
                </c:pt>
                <c:pt idx="431">
                  <c:v>10100</c:v>
                </c:pt>
                <c:pt idx="432">
                  <c:v>-33522.5</c:v>
                </c:pt>
                <c:pt idx="433">
                  <c:v>71885</c:v>
                </c:pt>
                <c:pt idx="434">
                  <c:v>-67127.5</c:v>
                </c:pt>
                <c:pt idx="435">
                  <c:v>66450</c:v>
                </c:pt>
                <c:pt idx="436">
                  <c:v>31240</c:v>
                </c:pt>
                <c:pt idx="437">
                  <c:v>74250</c:v>
                </c:pt>
                <c:pt idx="438">
                  <c:v>74332.5</c:v>
                </c:pt>
                <c:pt idx="439">
                  <c:v>-34773.75</c:v>
                </c:pt>
                <c:pt idx="440">
                  <c:v>149820</c:v>
                </c:pt>
                <c:pt idx="441">
                  <c:v>32140</c:v>
                </c:pt>
                <c:pt idx="442">
                  <c:v>110760</c:v>
                </c:pt>
                <c:pt idx="443">
                  <c:v>33180</c:v>
                </c:pt>
                <c:pt idx="444">
                  <c:v>413540</c:v>
                </c:pt>
                <c:pt idx="445">
                  <c:v>417165</c:v>
                </c:pt>
                <c:pt idx="446">
                  <c:v>34040</c:v>
                </c:pt>
                <c:pt idx="447">
                  <c:v>80300</c:v>
                </c:pt>
                <c:pt idx="448">
                  <c:v>36843.75</c:v>
                </c:pt>
                <c:pt idx="449">
                  <c:v>73950</c:v>
                </c:pt>
                <c:pt idx="450">
                  <c:v>-38046.25</c:v>
                </c:pt>
                <c:pt idx="451">
                  <c:v>430070</c:v>
                </c:pt>
                <c:pt idx="452">
                  <c:v>164560</c:v>
                </c:pt>
                <c:pt idx="453">
                  <c:v>-38788.75</c:v>
                </c:pt>
                <c:pt idx="454">
                  <c:v>-39105</c:v>
                </c:pt>
                <c:pt idx="455">
                  <c:v>5930</c:v>
                </c:pt>
                <c:pt idx="456">
                  <c:v>-40617.5</c:v>
                </c:pt>
                <c:pt idx="457">
                  <c:v>37340</c:v>
                </c:pt>
                <c:pt idx="458">
                  <c:v>91630</c:v>
                </c:pt>
                <c:pt idx="459">
                  <c:v>92345</c:v>
                </c:pt>
                <c:pt idx="460">
                  <c:v>-43518.75</c:v>
                </c:pt>
                <c:pt idx="461">
                  <c:v>250125</c:v>
                </c:pt>
                <c:pt idx="462">
                  <c:v>6795</c:v>
                </c:pt>
                <c:pt idx="463">
                  <c:v>6830</c:v>
                </c:pt>
                <c:pt idx="464">
                  <c:v>96855</c:v>
                </c:pt>
                <c:pt idx="465">
                  <c:v>44137.5</c:v>
                </c:pt>
                <c:pt idx="466">
                  <c:v>44887.5</c:v>
                </c:pt>
                <c:pt idx="467">
                  <c:v>44962.5</c:v>
                </c:pt>
                <c:pt idx="468">
                  <c:v>42680</c:v>
                </c:pt>
                <c:pt idx="469">
                  <c:v>-47375.625</c:v>
                </c:pt>
                <c:pt idx="470">
                  <c:v>87240</c:v>
                </c:pt>
                <c:pt idx="471">
                  <c:v>48037.5</c:v>
                </c:pt>
                <c:pt idx="472">
                  <c:v>14960</c:v>
                </c:pt>
                <c:pt idx="473">
                  <c:v>113905</c:v>
                </c:pt>
                <c:pt idx="474">
                  <c:v>228360</c:v>
                </c:pt>
                <c:pt idx="475">
                  <c:v>48720</c:v>
                </c:pt>
                <c:pt idx="476">
                  <c:v>52312.5</c:v>
                </c:pt>
                <c:pt idx="477">
                  <c:v>98400</c:v>
                </c:pt>
                <c:pt idx="478">
                  <c:v>118030</c:v>
                </c:pt>
                <c:pt idx="479">
                  <c:v>51300</c:v>
                </c:pt>
                <c:pt idx="480">
                  <c:v>53180</c:v>
                </c:pt>
                <c:pt idx="481">
                  <c:v>8865</c:v>
                </c:pt>
                <c:pt idx="482">
                  <c:v>54940</c:v>
                </c:pt>
                <c:pt idx="483">
                  <c:v>59775</c:v>
                </c:pt>
                <c:pt idx="484">
                  <c:v>132935</c:v>
                </c:pt>
                <c:pt idx="485">
                  <c:v>67125</c:v>
                </c:pt>
                <c:pt idx="486">
                  <c:v>10750</c:v>
                </c:pt>
                <c:pt idx="487">
                  <c:v>70125</c:v>
                </c:pt>
                <c:pt idx="488">
                  <c:v>158180</c:v>
                </c:pt>
                <c:pt idx="489">
                  <c:v>72075</c:v>
                </c:pt>
                <c:pt idx="490">
                  <c:v>22940</c:v>
                </c:pt>
                <c:pt idx="491">
                  <c:v>75262.5</c:v>
                </c:pt>
                <c:pt idx="492">
                  <c:v>78918.75</c:v>
                </c:pt>
                <c:pt idx="493">
                  <c:v>12300</c:v>
                </c:pt>
                <c:pt idx="494">
                  <c:v>12375</c:v>
                </c:pt>
                <c:pt idx="495">
                  <c:v>80662.5</c:v>
                </c:pt>
                <c:pt idx="496">
                  <c:v>75870</c:v>
                </c:pt>
                <c:pt idx="497">
                  <c:v>76050</c:v>
                </c:pt>
                <c:pt idx="498">
                  <c:v>12680</c:v>
                </c:pt>
                <c:pt idx="499">
                  <c:v>12705</c:v>
                </c:pt>
                <c:pt idx="500">
                  <c:v>12870</c:v>
                </c:pt>
                <c:pt idx="501">
                  <c:v>83531.25</c:v>
                </c:pt>
                <c:pt idx="502">
                  <c:v>13025</c:v>
                </c:pt>
                <c:pt idx="503">
                  <c:v>84000</c:v>
                </c:pt>
                <c:pt idx="504">
                  <c:v>86737.5</c:v>
                </c:pt>
                <c:pt idx="505">
                  <c:v>14055</c:v>
                </c:pt>
                <c:pt idx="506">
                  <c:v>14965</c:v>
                </c:pt>
                <c:pt idx="507">
                  <c:v>197400</c:v>
                </c:pt>
                <c:pt idx="508">
                  <c:v>105262.5</c:v>
                </c:pt>
                <c:pt idx="509">
                  <c:v>106912.5</c:v>
                </c:pt>
                <c:pt idx="510">
                  <c:v>17475</c:v>
                </c:pt>
              </c:numCache>
            </c:numRef>
          </c:val>
          <c:extLst>
            <c:ext xmlns:c16="http://schemas.microsoft.com/office/drawing/2014/chart" uri="{C3380CC4-5D6E-409C-BE32-E72D297353CC}">
              <c16:uniqueId val="{00000000-3006-452A-B7BC-8652EDB5E6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259080</xdr:colOff>
      <xdr:row>5</xdr:row>
      <xdr:rowOff>49530</xdr:rowOff>
    </xdr:from>
    <xdr:to>
      <xdr:col>13</xdr:col>
      <xdr:colOff>15240</xdr:colOff>
      <xdr:row>20</xdr:row>
      <xdr:rowOff>49530</xdr:rowOff>
    </xdr:to>
    <xdr:graphicFrame macro="">
      <xdr:nvGraphicFramePr>
        <xdr:cNvPr id="2" name="Chart 1">
          <a:extLst>
            <a:ext uri="{FF2B5EF4-FFF2-40B4-BE49-F238E27FC236}">
              <a16:creationId xmlns:a16="http://schemas.microsoft.com/office/drawing/2014/main" id="{53A97B55-9CEE-1658-B932-632B36893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556260</xdr:colOff>
      <xdr:row>0</xdr:row>
      <xdr:rowOff>152400</xdr:rowOff>
    </xdr:from>
    <xdr:to>
      <xdr:col>18</xdr:col>
      <xdr:colOff>556260</xdr:colOff>
      <xdr:row>14</xdr:row>
      <xdr:rowOff>59055</xdr:rowOff>
    </xdr:to>
    <mc:AlternateContent xmlns:mc="http://schemas.openxmlformats.org/markup-compatibility/2006">
      <mc:Choice xmlns:a14="http://schemas.microsoft.com/office/drawing/2010/main" Requires="a14">
        <xdr:graphicFrame macro="">
          <xdr:nvGraphicFramePr>
            <xdr:cNvPr id="3" name="Sale Price">
              <a:extLst>
                <a:ext uri="{FF2B5EF4-FFF2-40B4-BE49-F238E27FC236}">
                  <a16:creationId xmlns:a16="http://schemas.microsoft.com/office/drawing/2014/main" id="{F991644B-AA12-A7D4-EF07-312899006E24}"/>
                </a:ext>
              </a:extLst>
            </xdr:cNvPr>
            <xdr:cNvGraphicFramePr/>
          </xdr:nvGraphicFramePr>
          <xdr:xfrm>
            <a:off x="0" y="0"/>
            <a:ext cx="0" cy="0"/>
          </xdr:xfrm>
          <a:graphic>
            <a:graphicData uri="http://schemas.microsoft.com/office/drawing/2010/slicer">
              <sle:slicer xmlns:sle="http://schemas.microsoft.com/office/drawing/2010/slicer" name="Sale Price"/>
            </a:graphicData>
          </a:graphic>
        </xdr:graphicFrame>
      </mc:Choice>
      <mc:Fallback>
        <xdr:sp macro="" textlink="">
          <xdr:nvSpPr>
            <xdr:cNvPr id="0" name=""/>
            <xdr:cNvSpPr>
              <a:spLocks noTextEdit="1"/>
            </xdr:cNvSpPr>
          </xdr:nvSpPr>
          <xdr:spPr>
            <a:xfrm>
              <a:off x="1354836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15</xdr:row>
      <xdr:rowOff>38100</xdr:rowOff>
    </xdr:from>
    <xdr:to>
      <xdr:col>19</xdr:col>
      <xdr:colOff>91440</xdr:colOff>
      <xdr:row>28</xdr:row>
      <xdr:rowOff>127635</xdr:rowOff>
    </xdr:to>
    <mc:AlternateContent xmlns:mc="http://schemas.openxmlformats.org/markup-compatibility/2006">
      <mc:Choice xmlns:a14="http://schemas.microsoft.com/office/drawing/2010/main" Requires="a14">
        <xdr:graphicFrame macro="">
          <xdr:nvGraphicFramePr>
            <xdr:cNvPr id="4" name="Discounts">
              <a:extLst>
                <a:ext uri="{FF2B5EF4-FFF2-40B4-BE49-F238E27FC236}">
                  <a16:creationId xmlns:a16="http://schemas.microsoft.com/office/drawing/2014/main" id="{448382EB-2FD8-2C9C-CBEE-A2AE506ECFFA}"/>
                </a:ext>
              </a:extLst>
            </xdr:cNvPr>
            <xdr:cNvGraphicFramePr/>
          </xdr:nvGraphicFramePr>
          <xdr:xfrm>
            <a:off x="0" y="0"/>
            <a:ext cx="0" cy="0"/>
          </xdr:xfrm>
          <a:graphic>
            <a:graphicData uri="http://schemas.microsoft.com/office/drawing/2010/slicer">
              <sle:slicer xmlns:sle="http://schemas.microsoft.com/office/drawing/2010/slicer" name="Discounts"/>
            </a:graphicData>
          </a:graphic>
        </xdr:graphicFrame>
      </mc:Choice>
      <mc:Fallback>
        <xdr:sp macro="" textlink="">
          <xdr:nvSpPr>
            <xdr:cNvPr id="0" name=""/>
            <xdr:cNvSpPr>
              <a:spLocks noTextEdit="1"/>
            </xdr:cNvSpPr>
          </xdr:nvSpPr>
          <xdr:spPr>
            <a:xfrm>
              <a:off x="13693140" y="2781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586740</xdr:colOff>
      <xdr:row>0</xdr:row>
      <xdr:rowOff>133350</xdr:rowOff>
    </xdr:from>
    <xdr:to>
      <xdr:col>18</xdr:col>
      <xdr:colOff>289560</xdr:colOff>
      <xdr:row>15</xdr:row>
      <xdr:rowOff>133350</xdr:rowOff>
    </xdr:to>
    <xdr:graphicFrame macro="">
      <xdr:nvGraphicFramePr>
        <xdr:cNvPr id="2" name="Chart 1">
          <a:extLst>
            <a:ext uri="{FF2B5EF4-FFF2-40B4-BE49-F238E27FC236}">
              <a16:creationId xmlns:a16="http://schemas.microsoft.com/office/drawing/2014/main" id="{0BB9991D-116C-91E8-81E0-9E032FB53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403860</xdr:colOff>
      <xdr:row>14</xdr:row>
      <xdr:rowOff>22860</xdr:rowOff>
    </xdr:from>
    <xdr:to>
      <xdr:col>9</xdr:col>
      <xdr:colOff>396240</xdr:colOff>
      <xdr:row>27</xdr:row>
      <xdr:rowOff>112395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FB075293-A4D7-6181-CF77-E1ACF2E64E0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935980" y="2583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7</xdr:row>
      <xdr:rowOff>3810</xdr:rowOff>
    </xdr:from>
    <xdr:to>
      <xdr:col>15</xdr:col>
      <xdr:colOff>228600</xdr:colOff>
      <xdr:row>22</xdr:row>
      <xdr:rowOff>3810</xdr:rowOff>
    </xdr:to>
    <xdr:graphicFrame macro="">
      <xdr:nvGraphicFramePr>
        <xdr:cNvPr id="2" name="Chart 1">
          <a:extLst>
            <a:ext uri="{FF2B5EF4-FFF2-40B4-BE49-F238E27FC236}">
              <a16:creationId xmlns:a16="http://schemas.microsoft.com/office/drawing/2014/main" id="{469748F2-3F70-DAFD-231C-B6513CAD2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7</xdr:row>
      <xdr:rowOff>3810</xdr:rowOff>
    </xdr:from>
    <xdr:to>
      <xdr:col>15</xdr:col>
      <xdr:colOff>228600</xdr:colOff>
      <xdr:row>22</xdr:row>
      <xdr:rowOff>3810</xdr:rowOff>
    </xdr:to>
    <xdr:graphicFrame macro="">
      <xdr:nvGraphicFramePr>
        <xdr:cNvPr id="2" name="Chart 1">
          <a:extLst>
            <a:ext uri="{FF2B5EF4-FFF2-40B4-BE49-F238E27FC236}">
              <a16:creationId xmlns:a16="http://schemas.microsoft.com/office/drawing/2014/main" id="{023C5889-21EE-9163-39A5-09E28E6EE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05.234317708331" createdVersion="8" refreshedVersion="8" minRefreshableVersion="3" recordCount="700" xr:uid="{6E3BFB91-E7E6-45A6-A1D3-D7C29FA0639A}">
  <cacheSource type="worksheet">
    <worksheetSource ref="E1:K701" sheet="Sheet1"/>
  </cacheSource>
  <cacheFields count="7">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ount="6">
        <n v="3"/>
        <n v="5"/>
        <n v="10"/>
        <n v="120"/>
        <n v="250"/>
        <n v="260"/>
      </sharedItems>
    </cacheField>
    <cacheField name="Sale Price" numFmtId="164">
      <sharedItems containsSemiMixedTypes="0" containsString="0" containsNumber="1" containsInteger="1" minValue="7" maxValue="350" count="7">
        <n v="20"/>
        <n v="15"/>
        <n v="350"/>
        <n v="12"/>
        <n v="125"/>
        <n v="300"/>
        <n v="7"/>
      </sharedItems>
    </cacheField>
    <cacheField name="Gross Sales" numFmtId="164">
      <sharedItems containsNonDate="0" containsString="0" containsBlank="1" count="1">
        <m/>
      </sharedItems>
    </cacheField>
    <cacheField name="Discounts" numFmtId="164">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 Sales" numFmtId="164">
      <sharedItems containsNonDate="0" containsString="0" containsBlank="1" count="1">
        <m/>
      </sharedItems>
    </cacheField>
    <cacheField name="COGS" numFmtId="164">
      <sharedItems containsSemiMixedTypes="0" containsString="0" containsNumber="1" minValue="918" maxValue="950625"/>
    </cacheField>
  </cacheFields>
  <extLst>
    <ext xmlns:x14="http://schemas.microsoft.com/office/spreadsheetml/2009/9/main" uri="{725AE2AE-9491-48be-B2B4-4EB974FC3084}">
      <x14:pivotCacheDefinition pivotCacheId="2687570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05.255370601852" createdVersion="8" refreshedVersion="8" minRefreshableVersion="3" recordCount="700" xr:uid="{93A4F590-C263-4BD6-AB74-AF9DEB23CF65}">
  <cacheSource type="worksheet">
    <worksheetSource ref="B1:G701" sheet="Sheet1"/>
  </cacheSource>
  <cacheFields count="6">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s>
  <extLst>
    <ext xmlns:x14="http://schemas.microsoft.com/office/spreadsheetml/2009/9/main" uri="{725AE2AE-9491-48be-B2B4-4EB974FC3084}">
      <x14:pivotCacheDefinition pivotCacheId="20833552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05.271867824071" createdVersion="8" refreshedVersion="8" minRefreshableVersion="3" recordCount="700" xr:uid="{B04D64B8-A34E-4BFC-956A-7D53C30940BB}">
  <cacheSource type="worksheet">
    <worksheetSource ref="C1:L701" sheet="Sheet1"/>
  </cacheSource>
  <cacheFields count="10">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57275" count="511">
        <n v="0"/>
        <n v="1380.75"/>
        <n v="1722"/>
        <n v="360.5"/>
        <n v="223.65"/>
        <n v="464.1"/>
        <n v="1114.8"/>
        <n v="21175"/>
        <n v="885.15000000000009"/>
        <n v="867"/>
        <n v="2062.5"/>
        <n v="1602.6000000000001"/>
        <n v="459.6"/>
        <n v="7410"/>
        <n v="24447.5"/>
        <n v="37712.5"/>
        <n v="1660.5"/>
        <n v="34515"/>
        <n v="1375.5"/>
        <n v="640.5"/>
        <n v="37470"/>
        <n v="4143.75"/>
        <n v="1135.5"/>
        <n v="1572.375"/>
        <n v="4543.75"/>
        <n v="4918.75"/>
        <n v="11393.75"/>
        <n v="560.25"/>
        <n v="43575"/>
        <n v="3864"/>
        <n v="126.7"/>
        <n v="5768.75"/>
        <n v="732.2"/>
        <n v="92.050000000000011"/>
        <n v="16511.25"/>
        <n v="14790"/>
        <n v="10900"/>
        <n v="1193.4000000000001"/>
        <n v="240.75"/>
        <n v="4640.625"/>
        <n v="777"/>
        <n v="3210"/>
        <n v="750.75"/>
        <n v="49910"/>
        <n v="685.2"/>
        <n v="1566"/>
        <n v="414"/>
        <n v="10375"/>
        <n v="1772.25"/>
        <n v="13770"/>
        <n v="25920"/>
        <n v="4137.5"/>
        <n v="5056.25"/>
        <n v="13406.25"/>
        <n v="1071"/>
        <n v="28740"/>
        <n v="17056.25"/>
        <n v="1443.75"/>
        <n v="704.55000000000007"/>
        <n v="633"/>
        <n v="650.40000000000009"/>
        <n v="51905"/>
        <n v="50347.5"/>
        <n v="544"/>
        <n v="4655"/>
        <n v="33950"/>
        <n v="3885"/>
        <n v="16515"/>
        <n v="14225"/>
        <n v="1236"/>
        <n v="941"/>
        <n v="26521.875"/>
        <n v="2580"/>
        <n v="10335"/>
        <n v="1168.2"/>
        <n v="544.80000000000007"/>
        <n v="685.30000000000007"/>
        <n v="1140.6000000000001"/>
        <n v="190.4"/>
        <n v="31447.5"/>
        <n v="8043.75"/>
        <n v="10662.5"/>
        <n v="36517.5"/>
        <n v="11087.5"/>
        <n v="9812.5"/>
        <n v="821.7"/>
        <n v="12556.25"/>
        <n v="1458.75"/>
        <n v="42660"/>
        <n v="1149.6000000000001"/>
        <n v="28110"/>
        <n v="28735"/>
        <n v="831"/>
        <n v="616"/>
        <n v="3850.5"/>
        <n v="1487.4"/>
        <n v="1523.25"/>
        <n v="1695.75"/>
        <n v="736"/>
        <n v="997.85"/>
        <n v="30315"/>
        <n v="4795"/>
        <n v="1475.25"/>
        <n v="27885"/>
        <n v="7112.5"/>
        <n v="1487.8500000000001"/>
        <n v="4968.75"/>
        <n v="21217.5"/>
        <n v="43770"/>
        <n v="60375"/>
        <n v="18675"/>
        <n v="163.5"/>
        <n v="2074"/>
        <n v="1056"/>
        <n v="503.25"/>
        <n v="879"/>
        <n v="2646"/>
        <n v="38097.5"/>
        <n v="519.6"/>
        <n v="6107.5"/>
        <n v="32637.5"/>
        <n v="6712.5"/>
        <n v="33372.5"/>
        <n v="31115"/>
        <n v="811.30000000000007"/>
        <n v="960.40000000000009"/>
        <n v="1644.3000000000002"/>
        <n v="1882.3000000000002"/>
        <n v="2917.2000000000003"/>
        <n v="1178.1000000000001"/>
        <n v="1347.6000000000001"/>
        <n v="2238"/>
        <n v="1339.2"/>
        <n v="3126"/>
        <n v="29730"/>
        <n v="711.2"/>
        <n v="4186.5"/>
        <n v="399"/>
        <n v="1740.9"/>
        <n v="48457.5"/>
        <n v="45337.5"/>
        <n v="25200"/>
        <n v="2810.4"/>
        <n v="33000"/>
        <n v="2606"/>
        <n v="37400"/>
        <n v="29812.5"/>
        <n v="48210"/>
        <n v="1628.9"/>
        <n v="21070"/>
        <n v="3930"/>
        <n v="42980"/>
        <n v="2778"/>
        <n v="10762.5"/>
        <n v="8800"/>
        <n v="3604"/>
        <n v="5326"/>
        <n v="1495.2"/>
        <n v="3174"/>
        <n v="832.5"/>
        <n v="4291.5"/>
        <n v="10087.5"/>
        <n v="5664"/>
        <n v="3158"/>
        <n v="2066"/>
        <n v="37500"/>
        <n v="2530"/>
        <n v="4594"/>
        <n v="47250"/>
        <n v="19320"/>
        <n v="5701.5"/>
        <n v="2235"/>
        <n v="4266"/>
        <n v="674.40000000000009"/>
        <n v="2758.8"/>
        <n v="3045"/>
        <n v="184.10000000000002"/>
        <n v="34300"/>
        <n v="51100"/>
        <n v="982.1"/>
        <n v="3267.6000000000004"/>
        <n v="52360"/>
        <n v="25445"/>
        <n v="11900"/>
        <n v="34437.5"/>
        <n v="2295"/>
        <n v="1048.6000000000001"/>
        <n v="36630"/>
        <n v="72660"/>
        <n v="2246"/>
        <n v="73080"/>
        <n v="24843.75"/>
        <n v="58765"/>
        <n v="3514"/>
        <n v="3297"/>
        <n v="2614.5"/>
        <n v="1729.5"/>
        <n v="2002"/>
        <n v="933.1"/>
        <n v="872.40000000000009"/>
        <n v="2260.8000000000002"/>
        <n v="3668"/>
        <n v="2808"/>
        <n v="721.7"/>
        <n v="1893"/>
        <n v="794.5"/>
        <n v="382.90000000000003"/>
        <n v="1107.4000000000001"/>
        <n v="2086.2000000000003"/>
        <n v="2658"/>
        <n v="61635"/>
        <n v="13440"/>
        <n v="65430"/>
        <n v="3952"/>
        <n v="31250"/>
        <n v="51060"/>
        <n v="43912.5"/>
        <n v="3151.5"/>
        <n v="4396.5"/>
        <n v="3070"/>
        <n v="33690"/>
        <n v="42120"/>
        <n v="3315.6000000000004"/>
        <n v="1487.5"/>
        <n v="49770"/>
        <n v="1218"/>
        <n v="26087.5"/>
        <n v="2842"/>
        <n v="41160"/>
        <n v="1176"/>
        <n v="3893.4"/>
        <n v="28770"/>
        <n v="82410"/>
        <n v="20562.5"/>
        <n v="100660"/>
        <n v="12425"/>
        <n v="2236"/>
        <n v="341.6"/>
        <n v="2564"/>
        <n v="179.9"/>
        <n v="19250"/>
        <n v="735"/>
        <n v="47670"/>
        <n v="3751.5"/>
        <n v="1416"/>
        <n v="1290"/>
        <n v="46860"/>
        <n v="38490"/>
        <n v="1066.5"/>
        <n v="13925"/>
        <n v="881.30000000000007"/>
        <n v="766.5"/>
        <n v="2732"/>
        <n v="73800"/>
        <n v="474.6"/>
        <n v="1118.6000000000001"/>
        <n v="1686.3000000000002"/>
        <n v="3868"/>
        <n v="5986"/>
        <n v="75110"/>
        <n v="1362.2"/>
        <n v="717.6"/>
        <n v="2034.9"/>
        <n v="1636.6000000000001"/>
        <n v="11580"/>
        <n v="19050"/>
        <n v="20107.5"/>
        <n v="13335"/>
        <n v="14770"/>
        <n v="64020"/>
        <n v="24240"/>
        <n v="3040"/>
        <n v="1650"/>
        <n v="873"/>
        <n v="32820"/>
        <n v="440.40000000000003"/>
        <n v="114075"/>
        <n v="58310"/>
        <n v="9660"/>
        <n v="2785.2000000000003"/>
        <n v="23212.5"/>
        <n v="1127.7"/>
        <n v="34962.5"/>
        <n v="10020"/>
        <n v="76950"/>
        <n v="84595"/>
        <n v="5512.5"/>
        <n v="1840.5"/>
        <n v="39720"/>
        <n v="2130"/>
        <n v="367.5"/>
        <n v="113805"/>
        <n v="45745"/>
        <n v="7087.5"/>
        <n v="26375"/>
        <n v="44415"/>
        <n v="2347.2000000000003"/>
        <n v="79770"/>
        <n v="47302.5"/>
        <n v="56010"/>
        <n v="2680.8"/>
        <n v="10962.5"/>
        <n v="72485"/>
        <n v="1455"/>
        <n v="3388"/>
        <n v="1326"/>
        <n v="573.30000000000007"/>
        <n v="1896"/>
        <n v="364.70000000000005"/>
        <n v="1946"/>
        <n v="2076"/>
        <n v="252"/>
        <n v="2360.4"/>
        <n v="3942"/>
        <n v="5364"/>
        <n v="2445.75"/>
        <n v="367.20000000000005"/>
        <n v="694.8"/>
        <n v="2444.4"/>
        <n v="64603.125"/>
        <n v="27787.5"/>
        <n v="121432.5"/>
        <n v="33825"/>
        <n v="4662"/>
        <n v="5862"/>
        <n v="26595"/>
        <n v="4875.75"/>
        <n v="723"/>
        <n v="1532.25"/>
        <n v="1147.5"/>
        <n v="1777.5"/>
        <n v="33547.5"/>
        <n v="29925"/>
        <n v="103230"/>
        <n v="2798.25"/>
        <n v="35925"/>
        <n v="38385"/>
        <n v="6393.75"/>
        <n v="1442.25"/>
        <n v="147367.5"/>
        <n v="19440"/>
        <n v="47418.75"/>
        <n v="98175"/>
        <n v="10856.25"/>
        <n v="117600"/>
        <n v="134685"/>
        <n v="6336.9"/>
        <n v="6117"/>
        <n v="4633.2"/>
        <n v="37117.5"/>
        <n v="2156.4"/>
        <n v="2658.6"/>
        <n v="864"/>
        <n v="849.6"/>
        <n v="1657.95"/>
        <n v="1809"/>
        <n v="7198.875"/>
        <n v="3486.6"/>
        <n v="41580"/>
        <n v="126495"/>
        <n v="45768.75"/>
        <n v="3510"/>
        <n v="2841.2999999999997"/>
        <n v="40215"/>
        <n v="8976"/>
        <n v="4853.25"/>
        <n v="39285"/>
        <n v="3366"/>
        <n v="110486.25"/>
        <n v="7246.8"/>
        <n v="4365.8999999999996"/>
        <n v="7182"/>
        <n v="4464"/>
        <n v="61470"/>
        <n v="8415"/>
        <n v="1473.75"/>
        <n v="18060"/>
        <n v="1898.3999999999999"/>
        <n v="3121.2"/>
        <n v="10387.5"/>
        <n v="8805"/>
        <n v="59343.75"/>
        <n v="7887"/>
        <n v="26868.75"/>
        <n v="17756.25"/>
        <n v="46515"/>
        <n v="45300"/>
        <n v="40425"/>
        <n v="6050.25"/>
        <n v="79785"/>
        <n v="2541"/>
        <n v="2870.7"/>
        <n v="5145"/>
        <n v="53370"/>
        <n v="157275"/>
        <n v="2715"/>
        <n v="83685"/>
        <n v="61155"/>
        <n v="96750"/>
        <n v="62842.5"/>
        <n v="855"/>
        <n v="3699"/>
        <n v="73237.5"/>
        <n v="51765"/>
        <n v="3796.2"/>
        <n v="8717.625"/>
        <n v="32707.5"/>
        <n v="44756.25"/>
        <n v="14175"/>
        <n v="3592.5749999999998"/>
        <n v="5733"/>
        <n v="7564.5"/>
        <n v="4789.8"/>
        <n v="4593"/>
        <n v="1565.55"/>
        <n v="4969.8"/>
        <n v="5775.75"/>
        <n v="93975"/>
        <n v="51581.25"/>
        <n v="1362.8999999999999"/>
        <n v="1087.2"/>
        <n v="6765"/>
        <n v="3747"/>
        <n v="1510.425"/>
        <n v="36315"/>
        <n v="7923"/>
        <n v="8124"/>
        <n v="138180"/>
        <n v="29681.25"/>
        <n v="1027.8"/>
        <n v="2830.7999999999997"/>
        <n v="3521.25"/>
        <n v="18742.5"/>
        <n v="1823.3999999999999"/>
        <n v="8994.375"/>
        <n v="1249.5"/>
        <n v="1485"/>
        <n v="738"/>
        <n v="117225"/>
        <n v="31106.25"/>
        <n v="3186"/>
        <n v="7737"/>
        <n v="5229"/>
        <n v="3145.7999999999997"/>
        <n v="294"/>
        <n v="307.64999999999998"/>
        <n v="625.5"/>
        <n v="7284"/>
        <n v="3975.75"/>
        <n v="2507.4"/>
        <n v="3627"/>
        <n v="36045"/>
        <n v="19181.25"/>
        <n v="67320"/>
        <n v="45450"/>
        <n v="3404.25"/>
        <n v="5175"/>
        <n v="52893.75"/>
        <n v="116943.75"/>
        <n v="62947.5"/>
        <n v="10500"/>
        <n v="407.4"/>
        <n v="1813.35"/>
        <n v="780"/>
        <n v="5557.5"/>
        <n v="3921.75"/>
        <n v="5245.2"/>
        <n v="1817.55"/>
        <n v="36750"/>
        <n v="3999.6"/>
        <n v="61792.5"/>
        <n v="100905"/>
        <n v="29531.25"/>
        <n v="1818"/>
        <n v="110700"/>
        <n v="12105"/>
        <n v="114120"/>
        <n v="3048.15"/>
        <n v="114345"/>
        <n v="67252.5"/>
        <n v="39960"/>
        <n v="53325"/>
        <n v="4455"/>
        <n v="4207.5"/>
        <n v="22012.5"/>
        <n v="51881.25"/>
        <n v="20343.75"/>
        <n v="24570"/>
        <n v="3474"/>
        <n v="3631.5"/>
        <n v="2661.75"/>
        <n v="149677.5"/>
        <n v="5757.75"/>
        <n v="801"/>
        <n v="2643.75"/>
        <n v="105367.5"/>
        <n v="112927.5"/>
        <n v="1645.2"/>
        <n v="900"/>
        <n v="6358.5"/>
        <n v="12431.25"/>
        <n v="115830"/>
        <n v="45712.5"/>
        <n v="2596.5"/>
        <n v="1107"/>
        <n v="55387.5"/>
        <n v="10350"/>
        <n v="111375"/>
        <n v="1436.3999999999999"/>
        <n v="759.15"/>
        <n v="3250.7999999999997"/>
      </sharedItems>
    </cacheField>
    <cacheField name=" Sales" numFmtId="164">
      <sharedItems containsSemiMixedTypes="0" containsString="0" containsNumber="1" minValue="1619.1" maxValue="1147125" count="557">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6234.25"/>
        <n v="32718"/>
        <n v="6849.5"/>
        <n v="4249.3500000000004"/>
        <n v="8817.9"/>
        <n v="21181.200000000001"/>
        <n v="402325"/>
        <n v="16817.849999999999"/>
        <n v="16473"/>
        <n v="39187.5"/>
        <n v="30449.4"/>
        <n v="8732.4"/>
        <n v="140790"/>
        <n v="464502.5"/>
        <n v="716537.5"/>
        <n v="31549.5"/>
        <n v="655785"/>
        <n v="26134.5"/>
        <n v="12169.5"/>
        <n v="711930"/>
        <n v="78731.25"/>
        <n v="21574.5"/>
        <n v="29875.125"/>
        <n v="86331.25"/>
        <n v="93456.25"/>
        <n v="216481.25"/>
        <n v="10644.75"/>
        <n v="827925"/>
        <n v="73416"/>
        <n v="2407.3000000000002"/>
        <n v="109606.25"/>
        <n v="13911.8"/>
        <n v="1748.95"/>
        <n v="313713.75"/>
        <n v="281010"/>
        <n v="207100"/>
        <n v="22674.6"/>
        <n v="4574.25"/>
        <n v="88171.875"/>
        <n v="14763"/>
        <n v="60990"/>
        <n v="14264.25"/>
        <n v="948290"/>
        <n v="13018.8"/>
        <n v="29754"/>
        <n v="7866"/>
        <n v="197125"/>
        <n v="33672.75"/>
        <n v="261630"/>
        <n v="492480"/>
        <n v="78612.5"/>
        <n v="96068.75"/>
        <n v="254718.75"/>
        <n v="20349"/>
        <n v="546060"/>
        <n v="324068.75"/>
        <n v="27431.25"/>
        <n v="13386.45"/>
        <n v="12027"/>
        <n v="12357.6"/>
        <n v="986195"/>
        <n v="956602.5"/>
        <n v="10336"/>
        <n v="88445"/>
        <n v="645050"/>
        <n v="73815"/>
        <n v="313785"/>
        <n v="270275"/>
        <n v="23484"/>
        <n v="17879"/>
        <n v="503915.625"/>
        <n v="49020"/>
        <n v="196365"/>
        <n v="22195.8"/>
        <n v="10351.200000000001"/>
        <n v="13020.7"/>
        <n v="21671.4"/>
        <n v="3617.6"/>
        <n v="597502.5"/>
        <n v="152831.25"/>
        <n v="202587.5"/>
        <n v="693832.5"/>
        <n v="210662.5"/>
        <n v="186437.5"/>
        <n v="15612.3"/>
        <n v="238568.75"/>
        <n v="27716.25"/>
        <n v="810540"/>
        <n v="21842.400000000001"/>
        <n v="534090"/>
        <n v="545965"/>
        <n v="15789"/>
        <n v="11704"/>
        <n v="73159.5"/>
        <n v="28260.6"/>
        <n v="28941.75"/>
        <n v="32219.25"/>
        <n v="13984"/>
        <n v="18959.150000000001"/>
        <n v="575985"/>
        <n v="91105"/>
        <n v="28029.75"/>
        <n v="529815"/>
        <n v="135137.5"/>
        <n v="28269.15"/>
        <n v="94406.25"/>
        <n v="403132.5"/>
        <n v="831630"/>
        <n v="1147125"/>
        <n v="354825"/>
        <n v="3106.5"/>
        <n v="39406"/>
        <n v="20064"/>
        <n v="9561.75"/>
        <n v="16701"/>
        <n v="50274"/>
        <n v="723852.5"/>
        <n v="9872.4"/>
        <n v="116042.5"/>
        <n v="620112.5"/>
        <n v="127537.5"/>
        <n v="634077.5"/>
        <n v="591185"/>
        <n v="7301.7"/>
        <n v="8643.6"/>
        <n v="14798.7"/>
        <n v="16940.7"/>
        <n v="26254.799999999999"/>
        <n v="10602.9"/>
        <n v="12128.4"/>
        <n v="20142"/>
        <n v="12052.8"/>
        <n v="28134"/>
        <n v="267570"/>
        <n v="6400.8"/>
        <n v="37678.5"/>
        <n v="3591"/>
        <n v="15668.1"/>
        <n v="436117.5"/>
        <n v="408037.5"/>
        <n v="226800"/>
        <n v="25293.599999999999"/>
        <n v="297000"/>
        <n v="23454"/>
        <n v="336600"/>
        <n v="268312.5"/>
        <n v="433890"/>
        <n v="14660.1"/>
        <n v="189630"/>
        <n v="35370"/>
        <n v="386820"/>
        <n v="25002"/>
        <n v="96862.5"/>
        <n v="79200"/>
        <n v="32436"/>
        <n v="47934"/>
        <n v="13456.8"/>
        <n v="28566"/>
        <n v="7492.5"/>
        <n v="38623.5"/>
        <n v="90787.5"/>
        <n v="50976"/>
        <n v="28422"/>
        <n v="18594"/>
        <n v="337500"/>
        <n v="22770"/>
        <n v="41346"/>
        <n v="425250"/>
        <n v="173880"/>
        <n v="51313.5"/>
        <n v="20115"/>
        <n v="38394"/>
        <n v="6069.6"/>
        <n v="24829.200000000001"/>
        <n v="27405"/>
        <n v="1656.9"/>
        <n v="99787.5"/>
        <n v="308700"/>
        <n v="459900"/>
        <n v="8838.9"/>
        <n v="29408.400000000001"/>
        <n v="471240"/>
        <n v="229005"/>
        <n v="107100"/>
        <n v="309937.5"/>
        <n v="20655"/>
        <n v="9437.4"/>
        <n v="329670"/>
        <n v="653940"/>
        <n v="20214"/>
        <n v="657720"/>
        <n v="223593.75"/>
        <n v="528885"/>
        <n v="31626"/>
        <n v="29673"/>
        <n v="23530.5"/>
        <n v="15565.5"/>
        <n v="18018"/>
        <n v="8397.9"/>
        <n v="7851.6"/>
        <n v="20347.2"/>
        <n v="33012"/>
        <n v="25272"/>
        <n v="6495.3"/>
        <n v="17037"/>
        <n v="7150.5"/>
        <n v="3446.1"/>
        <n v="9966.6"/>
        <n v="18775.8"/>
        <n v="23922"/>
        <n v="554715"/>
        <n v="120960"/>
        <n v="588870"/>
        <n v="35568"/>
        <n v="281250"/>
        <n v="459540"/>
        <n v="395212.5"/>
        <n v="28363.5"/>
        <n v="39568.5"/>
        <n v="27630"/>
        <n v="303210"/>
        <n v="379080"/>
        <n v="29840.400000000001"/>
        <n v="13387.5"/>
        <n v="447930"/>
        <n v="10962"/>
        <n v="234787.5"/>
        <n v="25578"/>
        <n v="370440"/>
        <n v="10584"/>
        <n v="35040.6"/>
        <n v="258930"/>
        <n v="741690"/>
        <n v="185062.5"/>
        <n v="905940"/>
        <n v="111825"/>
        <n v="20124"/>
        <n v="3074.4"/>
        <n v="23076"/>
        <n v="1619.1"/>
        <n v="173250"/>
        <n v="6615"/>
        <n v="429030"/>
        <n v="33763.5"/>
        <n v="12744"/>
        <n v="11610"/>
        <n v="421740"/>
        <n v="346410"/>
        <n v="9598.5"/>
        <n v="125325"/>
        <n v="7931.7"/>
        <n v="6898.5"/>
        <n v="24588"/>
        <n v="664200"/>
        <n v="4271.3999999999996"/>
        <n v="10067.4"/>
        <n v="15176.7"/>
        <n v="34812"/>
        <n v="53874"/>
        <n v="675990"/>
        <n v="12259.8"/>
        <n v="6458.4"/>
        <n v="18314.099999999999"/>
        <n v="14729.4"/>
        <n v="104220"/>
        <n v="171450"/>
        <n v="180967.5"/>
        <n v="120015"/>
        <n v="132930"/>
        <n v="576180"/>
        <n v="218160"/>
        <n v="27360"/>
        <n v="14850"/>
        <n v="7857"/>
        <n v="295380"/>
        <n v="3963.6"/>
        <n v="1026675"/>
        <n v="524790"/>
        <n v="86940"/>
        <n v="25066.799999999999"/>
        <n v="208912.5"/>
        <n v="10149.299999999999"/>
        <n v="314662.5"/>
        <n v="90180"/>
        <n v="692550"/>
        <n v="761355"/>
        <n v="49612.5"/>
        <n v="16564.5"/>
        <n v="357480"/>
        <n v="19170"/>
        <n v="3307.5"/>
        <n v="1024245"/>
        <n v="411705"/>
        <n v="63787.5"/>
        <n v="237375"/>
        <n v="399735"/>
        <n v="21124.799999999999"/>
        <n v="717930"/>
        <n v="425722.5"/>
        <n v="9504"/>
        <n v="504090"/>
        <n v="24127.200000000001"/>
        <n v="98662.5"/>
        <n v="652365"/>
        <n v="13095"/>
        <n v="30492"/>
        <n v="11934"/>
        <n v="5159.7"/>
        <n v="17064"/>
        <n v="3282.3"/>
        <n v="17514"/>
        <n v="18684"/>
        <n v="2268"/>
        <n v="21243.599999999999"/>
        <n v="35478"/>
        <n v="48276"/>
        <n v="22011.75"/>
        <n v="3304.8"/>
        <n v="3937.2"/>
        <n v="13851.6"/>
        <n v="366084.375"/>
        <n v="157462.5"/>
        <n v="688117.5"/>
        <n v="191675"/>
        <n v="26418"/>
        <n v="33218"/>
        <n v="150705"/>
        <n v="27629.25"/>
        <n v="4097"/>
        <n v="8682.75"/>
        <n v="6502.5"/>
        <n v="10072.5"/>
        <n v="190102.5"/>
        <n v="169575"/>
        <n v="584970"/>
        <n v="15856.75"/>
        <n v="203575"/>
        <n v="217515"/>
        <n v="36231.25"/>
        <n v="8172.75"/>
        <n v="835082.5"/>
        <n v="110160"/>
        <n v="268706.25"/>
        <n v="556325"/>
        <n v="61518.75"/>
        <n v="666400"/>
        <n v="763215"/>
        <n v="35909.1"/>
        <n v="34663"/>
        <n v="210332.5"/>
        <n v="12219.6"/>
        <n v="15065.4"/>
        <n v="4896"/>
        <n v="4814.3999999999996"/>
        <n v="9395.0499999999993"/>
        <n v="10251"/>
        <n v="40793.625"/>
        <n v="19757.400000000001"/>
        <n v="235620"/>
        <n v="716805"/>
        <n v="259356.25"/>
        <n v="19890"/>
        <n v="16100.7"/>
        <n v="227885"/>
        <n v="50864"/>
        <n v="27501.75"/>
        <n v="222615"/>
        <n v="19074"/>
        <n v="626088.75"/>
        <n v="41065.199999999997"/>
        <n v="24740.1"/>
        <n v="40698"/>
        <n v="25296"/>
        <n v="348330"/>
        <n v="47685"/>
        <n v="8351.25"/>
        <n v="102340"/>
        <n v="10757.6"/>
        <n v="17686.8"/>
        <n v="58862.5"/>
        <n v="49895"/>
        <n v="336281.25"/>
        <n v="44693"/>
        <n v="152256.25"/>
        <n v="100618.75"/>
        <n v="2261"/>
        <n v="263585"/>
        <n v="256700"/>
        <n v="229075"/>
        <n v="34284.75"/>
        <n v="8631.75"/>
        <n v="452115"/>
        <n v="14399"/>
        <n v="16267.3"/>
        <n v="29155"/>
        <n v="302430"/>
        <n v="891225"/>
        <n v="15385"/>
        <n v="474215"/>
        <n v="346545"/>
        <n v="548250"/>
        <n v="356107.5"/>
        <n v="4845"/>
        <n v="20961"/>
        <n v="415012.5"/>
        <n v="293335"/>
        <n v="21511.8"/>
        <n v="49399.875"/>
        <n v="185342.5"/>
        <n v="253618.75"/>
        <n v="80325"/>
        <n v="20357.924999999999"/>
        <n v="32487"/>
        <n v="42865.5"/>
        <n v="27142.2"/>
        <n v="26027"/>
        <n v="8871.4500000000007"/>
        <n v="28162.2"/>
        <n v="32729.25"/>
        <n v="274592.5"/>
        <n v="532525"/>
        <n v="7514"/>
        <n v="292293.75"/>
        <n v="7723.1"/>
        <n v="6160.8"/>
        <n v="38335"/>
        <n v="21233"/>
        <n v="8559.0750000000007"/>
        <n v="205785"/>
        <n v="44897"/>
        <n v="46036"/>
        <n v="783020"/>
        <n v="168193.75"/>
        <n v="5824.2"/>
        <n v="16041.2"/>
        <n v="19953.75"/>
        <n v="106207.5"/>
        <n v="10332.6"/>
        <n v="50968.125"/>
        <n v="7080.5"/>
        <n v="8415"/>
        <n v="4182"/>
        <n v="664275"/>
        <n v="176268.75"/>
        <n v="18054"/>
        <n v="43843"/>
        <n v="29631"/>
        <n v="17826.2"/>
        <n v="1666"/>
        <n v="1743.35"/>
        <n v="3544.5"/>
        <n v="41276"/>
        <n v="22529.25"/>
        <n v="14208.6"/>
        <n v="20553"/>
        <n v="204255"/>
        <n v="108693.75"/>
        <n v="381480"/>
        <n v="257550"/>
        <n v="19290.75"/>
        <n v="29325"/>
        <n v="299731.25"/>
        <n v="662681.25"/>
        <n v="356702.5"/>
        <n v="59500"/>
        <n v="2308.6"/>
        <n v="10275.65"/>
        <n v="4420"/>
        <n v="31492.5"/>
        <n v="22223.25"/>
        <n v="29722.799999999999"/>
        <n v="10299.450000000001"/>
        <n v="208250"/>
        <n v="22664.400000000001"/>
        <n v="350157.5"/>
        <n v="571795"/>
        <n v="167343.75"/>
        <n v="10302"/>
        <n v="627300"/>
        <n v="68595"/>
        <n v="646680"/>
        <n v="17272.849999999999"/>
        <n v="647955"/>
        <n v="381097.5"/>
        <n v="226440"/>
        <n v="302175"/>
        <n v="25245"/>
        <n v="23842.5"/>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164">
      <sharedItems containsSemiMixedTypes="0" containsString="0" containsNumber="1" minValue="918" maxValue="950625"/>
    </cacheField>
    <cacheField name="Profit" numFmtId="164">
      <sharedItems containsSemiMixedTypes="0" containsString="0" containsNumber="1" minValue="-47375.625" maxValue="2501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618.5"/>
    <x v="0"/>
    <x v="0"/>
    <x v="0"/>
    <x v="0"/>
    <x v="0"/>
    <n v="16185"/>
  </r>
  <r>
    <n v="1321"/>
    <x v="0"/>
    <x v="0"/>
    <x v="0"/>
    <x v="0"/>
    <x v="0"/>
    <n v="13210"/>
  </r>
  <r>
    <n v="2178"/>
    <x v="0"/>
    <x v="1"/>
    <x v="0"/>
    <x v="0"/>
    <x v="0"/>
    <n v="21780"/>
  </r>
  <r>
    <n v="888"/>
    <x v="0"/>
    <x v="1"/>
    <x v="0"/>
    <x v="0"/>
    <x v="0"/>
    <n v="8880"/>
  </r>
  <r>
    <n v="2470"/>
    <x v="0"/>
    <x v="1"/>
    <x v="0"/>
    <x v="0"/>
    <x v="0"/>
    <n v="24700"/>
  </r>
  <r>
    <n v="1513"/>
    <x v="0"/>
    <x v="2"/>
    <x v="0"/>
    <x v="0"/>
    <x v="0"/>
    <n v="393380"/>
  </r>
  <r>
    <n v="921"/>
    <x v="1"/>
    <x v="1"/>
    <x v="0"/>
    <x v="0"/>
    <x v="0"/>
    <n v="9210"/>
  </r>
  <r>
    <n v="2518"/>
    <x v="1"/>
    <x v="3"/>
    <x v="0"/>
    <x v="0"/>
    <x v="0"/>
    <n v="7554"/>
  </r>
  <r>
    <n v="1899"/>
    <x v="1"/>
    <x v="0"/>
    <x v="0"/>
    <x v="0"/>
    <x v="0"/>
    <n v="18990"/>
  </r>
  <r>
    <n v="1545"/>
    <x v="1"/>
    <x v="3"/>
    <x v="0"/>
    <x v="0"/>
    <x v="0"/>
    <n v="4635"/>
  </r>
  <r>
    <n v="2470"/>
    <x v="1"/>
    <x v="1"/>
    <x v="0"/>
    <x v="0"/>
    <x v="0"/>
    <n v="24700"/>
  </r>
  <r>
    <n v="2665.5"/>
    <x v="1"/>
    <x v="4"/>
    <x v="0"/>
    <x v="0"/>
    <x v="0"/>
    <n v="319860"/>
  </r>
  <r>
    <n v="958"/>
    <x v="1"/>
    <x v="5"/>
    <x v="0"/>
    <x v="0"/>
    <x v="0"/>
    <n v="239500"/>
  </r>
  <r>
    <n v="2146"/>
    <x v="1"/>
    <x v="6"/>
    <x v="0"/>
    <x v="0"/>
    <x v="0"/>
    <n v="10730"/>
  </r>
  <r>
    <n v="345"/>
    <x v="1"/>
    <x v="4"/>
    <x v="0"/>
    <x v="0"/>
    <x v="0"/>
    <n v="41400"/>
  </r>
  <r>
    <n v="615"/>
    <x v="1"/>
    <x v="1"/>
    <x v="0"/>
    <x v="0"/>
    <x v="0"/>
    <n v="6150"/>
  </r>
  <r>
    <n v="292"/>
    <x v="2"/>
    <x v="0"/>
    <x v="0"/>
    <x v="0"/>
    <x v="0"/>
    <n v="2920"/>
  </r>
  <r>
    <n v="974"/>
    <x v="2"/>
    <x v="1"/>
    <x v="0"/>
    <x v="0"/>
    <x v="0"/>
    <n v="9740"/>
  </r>
  <r>
    <n v="2518"/>
    <x v="2"/>
    <x v="3"/>
    <x v="0"/>
    <x v="0"/>
    <x v="0"/>
    <n v="7554"/>
  </r>
  <r>
    <n v="1006"/>
    <x v="2"/>
    <x v="2"/>
    <x v="0"/>
    <x v="0"/>
    <x v="0"/>
    <n v="261560"/>
  </r>
  <r>
    <n v="367"/>
    <x v="2"/>
    <x v="3"/>
    <x v="0"/>
    <x v="0"/>
    <x v="0"/>
    <n v="1101"/>
  </r>
  <r>
    <n v="883"/>
    <x v="2"/>
    <x v="6"/>
    <x v="0"/>
    <x v="0"/>
    <x v="0"/>
    <n v="4415"/>
  </r>
  <r>
    <n v="549"/>
    <x v="2"/>
    <x v="1"/>
    <x v="0"/>
    <x v="0"/>
    <x v="0"/>
    <n v="5490"/>
  </r>
  <r>
    <n v="788"/>
    <x v="2"/>
    <x v="5"/>
    <x v="0"/>
    <x v="0"/>
    <x v="0"/>
    <n v="197000"/>
  </r>
  <r>
    <n v="2472"/>
    <x v="2"/>
    <x v="1"/>
    <x v="0"/>
    <x v="0"/>
    <x v="0"/>
    <n v="24720"/>
  </r>
  <r>
    <n v="1143"/>
    <x v="2"/>
    <x v="6"/>
    <x v="0"/>
    <x v="0"/>
    <x v="0"/>
    <n v="5715"/>
  </r>
  <r>
    <n v="1725"/>
    <x v="2"/>
    <x v="2"/>
    <x v="0"/>
    <x v="0"/>
    <x v="0"/>
    <n v="448500"/>
  </r>
  <r>
    <n v="912"/>
    <x v="2"/>
    <x v="3"/>
    <x v="0"/>
    <x v="0"/>
    <x v="0"/>
    <n v="2736"/>
  </r>
  <r>
    <n v="2152"/>
    <x v="2"/>
    <x v="1"/>
    <x v="0"/>
    <x v="0"/>
    <x v="0"/>
    <n v="21520"/>
  </r>
  <r>
    <n v="1817"/>
    <x v="2"/>
    <x v="0"/>
    <x v="0"/>
    <x v="0"/>
    <x v="0"/>
    <n v="18170"/>
  </r>
  <r>
    <n v="1513"/>
    <x v="2"/>
    <x v="2"/>
    <x v="0"/>
    <x v="0"/>
    <x v="0"/>
    <n v="393380"/>
  </r>
  <r>
    <n v="1493"/>
    <x v="3"/>
    <x v="6"/>
    <x v="0"/>
    <x v="0"/>
    <x v="0"/>
    <n v="7465"/>
  </r>
  <r>
    <n v="1804"/>
    <x v="3"/>
    <x v="4"/>
    <x v="0"/>
    <x v="0"/>
    <x v="0"/>
    <n v="216480"/>
  </r>
  <r>
    <n v="2161"/>
    <x v="3"/>
    <x v="3"/>
    <x v="0"/>
    <x v="0"/>
    <x v="0"/>
    <n v="6483"/>
  </r>
  <r>
    <n v="1006"/>
    <x v="3"/>
    <x v="2"/>
    <x v="0"/>
    <x v="0"/>
    <x v="0"/>
    <n v="261560"/>
  </r>
  <r>
    <n v="1545"/>
    <x v="3"/>
    <x v="3"/>
    <x v="0"/>
    <x v="0"/>
    <x v="0"/>
    <n v="4635"/>
  </r>
  <r>
    <n v="2821"/>
    <x v="3"/>
    <x v="4"/>
    <x v="0"/>
    <x v="0"/>
    <x v="0"/>
    <n v="338520"/>
  </r>
  <r>
    <n v="345"/>
    <x v="3"/>
    <x v="4"/>
    <x v="0"/>
    <x v="0"/>
    <x v="0"/>
    <n v="41400"/>
  </r>
  <r>
    <n v="2001"/>
    <x v="4"/>
    <x v="5"/>
    <x v="0"/>
    <x v="0"/>
    <x v="0"/>
    <n v="500250"/>
  </r>
  <r>
    <n v="2838"/>
    <x v="4"/>
    <x v="3"/>
    <x v="0"/>
    <x v="0"/>
    <x v="0"/>
    <n v="8514"/>
  </r>
  <r>
    <n v="2178"/>
    <x v="4"/>
    <x v="1"/>
    <x v="0"/>
    <x v="0"/>
    <x v="0"/>
    <n v="21780"/>
  </r>
  <r>
    <n v="888"/>
    <x v="4"/>
    <x v="1"/>
    <x v="0"/>
    <x v="0"/>
    <x v="0"/>
    <n v="8880"/>
  </r>
  <r>
    <n v="1527"/>
    <x v="4"/>
    <x v="2"/>
    <x v="0"/>
    <x v="0"/>
    <x v="0"/>
    <n v="397020"/>
  </r>
  <r>
    <n v="2151"/>
    <x v="4"/>
    <x v="5"/>
    <x v="0"/>
    <x v="0"/>
    <x v="0"/>
    <n v="537750"/>
  </r>
  <r>
    <n v="1817"/>
    <x v="4"/>
    <x v="0"/>
    <x v="0"/>
    <x v="0"/>
    <x v="0"/>
    <n v="18170"/>
  </r>
  <r>
    <n v="2750"/>
    <x v="5"/>
    <x v="2"/>
    <x v="0"/>
    <x v="0"/>
    <x v="0"/>
    <n v="715000"/>
  </r>
  <r>
    <n v="1953"/>
    <x v="5"/>
    <x v="3"/>
    <x v="0"/>
    <x v="0"/>
    <x v="0"/>
    <n v="5859"/>
  </r>
  <r>
    <n v="4219.5"/>
    <x v="5"/>
    <x v="4"/>
    <x v="0"/>
    <x v="0"/>
    <x v="0"/>
    <n v="506340"/>
  </r>
  <r>
    <n v="1899"/>
    <x v="5"/>
    <x v="0"/>
    <x v="0"/>
    <x v="0"/>
    <x v="0"/>
    <n v="18990"/>
  </r>
  <r>
    <n v="1686"/>
    <x v="5"/>
    <x v="6"/>
    <x v="0"/>
    <x v="0"/>
    <x v="0"/>
    <n v="8430"/>
  </r>
  <r>
    <n v="2141"/>
    <x v="5"/>
    <x v="3"/>
    <x v="0"/>
    <x v="0"/>
    <x v="0"/>
    <n v="6423"/>
  </r>
  <r>
    <n v="1143"/>
    <x v="5"/>
    <x v="6"/>
    <x v="0"/>
    <x v="0"/>
    <x v="0"/>
    <n v="5715"/>
  </r>
  <r>
    <n v="615"/>
    <x v="5"/>
    <x v="1"/>
    <x v="0"/>
    <x v="0"/>
    <x v="0"/>
    <n v="6150"/>
  </r>
  <r>
    <n v="3945"/>
    <x v="2"/>
    <x v="6"/>
    <x v="0"/>
    <x v="1"/>
    <x v="0"/>
    <n v="19725"/>
  </r>
  <r>
    <n v="2296"/>
    <x v="2"/>
    <x v="1"/>
    <x v="0"/>
    <x v="2"/>
    <x v="0"/>
    <n v="22960"/>
  </r>
  <r>
    <n v="1030"/>
    <x v="2"/>
    <x v="6"/>
    <x v="0"/>
    <x v="3"/>
    <x v="0"/>
    <n v="5150"/>
  </r>
  <r>
    <n v="639"/>
    <x v="3"/>
    <x v="6"/>
    <x v="0"/>
    <x v="4"/>
    <x v="0"/>
    <n v="3195"/>
  </r>
  <r>
    <n v="1326"/>
    <x v="4"/>
    <x v="6"/>
    <x v="0"/>
    <x v="5"/>
    <x v="0"/>
    <n v="6630"/>
  </r>
  <r>
    <n v="1858"/>
    <x v="0"/>
    <x v="3"/>
    <x v="0"/>
    <x v="6"/>
    <x v="0"/>
    <n v="5574"/>
  </r>
  <r>
    <n v="1210"/>
    <x v="0"/>
    <x v="2"/>
    <x v="0"/>
    <x v="7"/>
    <x v="0"/>
    <n v="314600"/>
  </r>
  <r>
    <n v="2529"/>
    <x v="0"/>
    <x v="6"/>
    <x v="0"/>
    <x v="8"/>
    <x v="0"/>
    <n v="12645"/>
  </r>
  <r>
    <n v="1445"/>
    <x v="0"/>
    <x v="3"/>
    <x v="0"/>
    <x v="9"/>
    <x v="0"/>
    <n v="4335"/>
  </r>
  <r>
    <n v="330"/>
    <x v="0"/>
    <x v="4"/>
    <x v="0"/>
    <x v="10"/>
    <x v="0"/>
    <n v="39600"/>
  </r>
  <r>
    <n v="2671"/>
    <x v="0"/>
    <x v="3"/>
    <x v="0"/>
    <x v="11"/>
    <x v="0"/>
    <n v="8013"/>
  </r>
  <r>
    <n v="766"/>
    <x v="0"/>
    <x v="3"/>
    <x v="0"/>
    <x v="12"/>
    <x v="0"/>
    <n v="2298"/>
  </r>
  <r>
    <n v="494"/>
    <x v="0"/>
    <x v="5"/>
    <x v="0"/>
    <x v="13"/>
    <x v="0"/>
    <n v="123500"/>
  </r>
  <r>
    <n v="1397"/>
    <x v="0"/>
    <x v="2"/>
    <x v="0"/>
    <x v="14"/>
    <x v="0"/>
    <n v="363220"/>
  </r>
  <r>
    <n v="2155"/>
    <x v="0"/>
    <x v="2"/>
    <x v="0"/>
    <x v="15"/>
    <x v="0"/>
    <n v="560300"/>
  </r>
  <r>
    <n v="2214"/>
    <x v="1"/>
    <x v="1"/>
    <x v="0"/>
    <x v="16"/>
    <x v="0"/>
    <n v="22140"/>
  </r>
  <r>
    <n v="2301"/>
    <x v="1"/>
    <x v="5"/>
    <x v="0"/>
    <x v="17"/>
    <x v="0"/>
    <n v="575250"/>
  </r>
  <r>
    <n v="1375.5"/>
    <x v="1"/>
    <x v="0"/>
    <x v="0"/>
    <x v="18"/>
    <x v="0"/>
    <n v="13755"/>
  </r>
  <r>
    <n v="1830"/>
    <x v="1"/>
    <x v="6"/>
    <x v="0"/>
    <x v="19"/>
    <x v="0"/>
    <n v="9150"/>
  </r>
  <r>
    <n v="2498"/>
    <x v="1"/>
    <x v="5"/>
    <x v="0"/>
    <x v="20"/>
    <x v="0"/>
    <n v="624500"/>
  </r>
  <r>
    <n v="663"/>
    <x v="1"/>
    <x v="4"/>
    <x v="0"/>
    <x v="21"/>
    <x v="0"/>
    <n v="79560"/>
  </r>
  <r>
    <n v="1514"/>
    <x v="2"/>
    <x v="1"/>
    <x v="0"/>
    <x v="22"/>
    <x v="0"/>
    <n v="15140"/>
  </r>
  <r>
    <n v="4492.5"/>
    <x v="2"/>
    <x v="6"/>
    <x v="0"/>
    <x v="23"/>
    <x v="0"/>
    <n v="22462.5"/>
  </r>
  <r>
    <n v="727"/>
    <x v="2"/>
    <x v="4"/>
    <x v="0"/>
    <x v="24"/>
    <x v="0"/>
    <n v="87240"/>
  </r>
  <r>
    <n v="787"/>
    <x v="2"/>
    <x v="4"/>
    <x v="0"/>
    <x v="25"/>
    <x v="0"/>
    <n v="94440"/>
  </r>
  <r>
    <n v="1823"/>
    <x v="2"/>
    <x v="4"/>
    <x v="0"/>
    <x v="26"/>
    <x v="0"/>
    <n v="218760"/>
  </r>
  <r>
    <n v="747"/>
    <x v="2"/>
    <x v="1"/>
    <x v="0"/>
    <x v="27"/>
    <x v="0"/>
    <n v="7470"/>
  </r>
  <r>
    <n v="766"/>
    <x v="2"/>
    <x v="3"/>
    <x v="0"/>
    <x v="12"/>
    <x v="0"/>
    <n v="2298"/>
  </r>
  <r>
    <n v="2905"/>
    <x v="2"/>
    <x v="5"/>
    <x v="0"/>
    <x v="28"/>
    <x v="0"/>
    <n v="726250"/>
  </r>
  <r>
    <n v="2155"/>
    <x v="2"/>
    <x v="2"/>
    <x v="0"/>
    <x v="15"/>
    <x v="0"/>
    <n v="560300"/>
  </r>
  <r>
    <n v="3864"/>
    <x v="3"/>
    <x v="0"/>
    <x v="0"/>
    <x v="29"/>
    <x v="0"/>
    <n v="38640"/>
  </r>
  <r>
    <n v="362"/>
    <x v="3"/>
    <x v="6"/>
    <x v="0"/>
    <x v="30"/>
    <x v="0"/>
    <n v="1810"/>
  </r>
  <r>
    <n v="923"/>
    <x v="3"/>
    <x v="4"/>
    <x v="0"/>
    <x v="31"/>
    <x v="0"/>
    <n v="110760"/>
  </r>
  <r>
    <n v="663"/>
    <x v="3"/>
    <x v="4"/>
    <x v="0"/>
    <x v="21"/>
    <x v="0"/>
    <n v="79560"/>
  </r>
  <r>
    <n v="2092"/>
    <x v="3"/>
    <x v="6"/>
    <x v="0"/>
    <x v="32"/>
    <x v="0"/>
    <n v="10460"/>
  </r>
  <r>
    <n v="263"/>
    <x v="4"/>
    <x v="6"/>
    <x v="0"/>
    <x v="33"/>
    <x v="0"/>
    <n v="1315"/>
  </r>
  <r>
    <n v="943.5"/>
    <x v="4"/>
    <x v="2"/>
    <x v="0"/>
    <x v="34"/>
    <x v="0"/>
    <n v="245310"/>
  </r>
  <r>
    <n v="727"/>
    <x v="4"/>
    <x v="4"/>
    <x v="0"/>
    <x v="24"/>
    <x v="0"/>
    <n v="87240"/>
  </r>
  <r>
    <n v="787"/>
    <x v="4"/>
    <x v="4"/>
    <x v="0"/>
    <x v="25"/>
    <x v="0"/>
    <n v="94440"/>
  </r>
  <r>
    <n v="986"/>
    <x v="4"/>
    <x v="5"/>
    <x v="0"/>
    <x v="35"/>
    <x v="0"/>
    <n v="246500"/>
  </r>
  <r>
    <n v="494"/>
    <x v="4"/>
    <x v="5"/>
    <x v="0"/>
    <x v="13"/>
    <x v="0"/>
    <n v="123500"/>
  </r>
  <r>
    <n v="1397"/>
    <x v="4"/>
    <x v="2"/>
    <x v="0"/>
    <x v="14"/>
    <x v="0"/>
    <n v="363220"/>
  </r>
  <r>
    <n v="1744"/>
    <x v="4"/>
    <x v="4"/>
    <x v="0"/>
    <x v="36"/>
    <x v="0"/>
    <n v="209280"/>
  </r>
  <r>
    <n v="1989"/>
    <x v="5"/>
    <x v="3"/>
    <x v="0"/>
    <x v="37"/>
    <x v="0"/>
    <n v="5967"/>
  </r>
  <r>
    <n v="321"/>
    <x v="5"/>
    <x v="1"/>
    <x v="0"/>
    <x v="38"/>
    <x v="0"/>
    <n v="3210"/>
  </r>
  <r>
    <n v="742.5"/>
    <x v="0"/>
    <x v="4"/>
    <x v="0"/>
    <x v="39"/>
    <x v="0"/>
    <n v="89100"/>
  </r>
  <r>
    <n v="1295"/>
    <x v="0"/>
    <x v="3"/>
    <x v="0"/>
    <x v="40"/>
    <x v="0"/>
    <n v="3885"/>
  </r>
  <r>
    <n v="214"/>
    <x v="0"/>
    <x v="5"/>
    <x v="0"/>
    <x v="41"/>
    <x v="0"/>
    <n v="53500"/>
  </r>
  <r>
    <n v="2145"/>
    <x v="0"/>
    <x v="6"/>
    <x v="0"/>
    <x v="42"/>
    <x v="0"/>
    <n v="10725"/>
  </r>
  <r>
    <n v="2852"/>
    <x v="0"/>
    <x v="2"/>
    <x v="0"/>
    <x v="43"/>
    <x v="0"/>
    <n v="741520"/>
  </r>
  <r>
    <n v="1142"/>
    <x v="1"/>
    <x v="3"/>
    <x v="0"/>
    <x v="44"/>
    <x v="0"/>
    <n v="3426"/>
  </r>
  <r>
    <n v="1566"/>
    <x v="1"/>
    <x v="0"/>
    <x v="0"/>
    <x v="45"/>
    <x v="0"/>
    <n v="15660"/>
  </r>
  <r>
    <n v="690"/>
    <x v="1"/>
    <x v="3"/>
    <x v="0"/>
    <x v="46"/>
    <x v="0"/>
    <n v="2070"/>
  </r>
  <r>
    <n v="1660"/>
    <x v="1"/>
    <x v="4"/>
    <x v="0"/>
    <x v="47"/>
    <x v="0"/>
    <n v="199200"/>
  </r>
  <r>
    <n v="2363"/>
    <x v="2"/>
    <x v="1"/>
    <x v="0"/>
    <x v="48"/>
    <x v="0"/>
    <n v="23630"/>
  </r>
  <r>
    <n v="918"/>
    <x v="2"/>
    <x v="5"/>
    <x v="0"/>
    <x v="49"/>
    <x v="0"/>
    <n v="229500"/>
  </r>
  <r>
    <n v="1728"/>
    <x v="2"/>
    <x v="5"/>
    <x v="0"/>
    <x v="50"/>
    <x v="0"/>
    <n v="432000"/>
  </r>
  <r>
    <n v="1142"/>
    <x v="2"/>
    <x v="3"/>
    <x v="0"/>
    <x v="44"/>
    <x v="0"/>
    <n v="3426"/>
  </r>
  <r>
    <n v="662"/>
    <x v="2"/>
    <x v="4"/>
    <x v="0"/>
    <x v="51"/>
    <x v="0"/>
    <n v="79440"/>
  </r>
  <r>
    <n v="1295"/>
    <x v="2"/>
    <x v="3"/>
    <x v="0"/>
    <x v="40"/>
    <x v="0"/>
    <n v="3885"/>
  </r>
  <r>
    <n v="809"/>
    <x v="2"/>
    <x v="4"/>
    <x v="0"/>
    <x v="52"/>
    <x v="0"/>
    <n v="97080"/>
  </r>
  <r>
    <n v="2145"/>
    <x v="2"/>
    <x v="4"/>
    <x v="0"/>
    <x v="53"/>
    <x v="0"/>
    <n v="257400"/>
  </r>
  <r>
    <n v="1785"/>
    <x v="2"/>
    <x v="3"/>
    <x v="0"/>
    <x v="54"/>
    <x v="0"/>
    <n v="5355"/>
  </r>
  <r>
    <n v="1916"/>
    <x v="2"/>
    <x v="5"/>
    <x v="0"/>
    <x v="55"/>
    <x v="0"/>
    <n v="479000"/>
  </r>
  <r>
    <n v="2852"/>
    <x v="2"/>
    <x v="2"/>
    <x v="0"/>
    <x v="43"/>
    <x v="0"/>
    <n v="741520"/>
  </r>
  <r>
    <n v="2729"/>
    <x v="2"/>
    <x v="4"/>
    <x v="0"/>
    <x v="56"/>
    <x v="0"/>
    <n v="327480"/>
  </r>
  <r>
    <n v="1925"/>
    <x v="2"/>
    <x v="1"/>
    <x v="0"/>
    <x v="57"/>
    <x v="0"/>
    <n v="19250"/>
  </r>
  <r>
    <n v="2013"/>
    <x v="2"/>
    <x v="6"/>
    <x v="0"/>
    <x v="58"/>
    <x v="0"/>
    <n v="10065"/>
  </r>
  <r>
    <n v="1055"/>
    <x v="2"/>
    <x v="3"/>
    <x v="0"/>
    <x v="59"/>
    <x v="0"/>
    <n v="3165"/>
  </r>
  <r>
    <n v="1084"/>
    <x v="2"/>
    <x v="3"/>
    <x v="0"/>
    <x v="60"/>
    <x v="0"/>
    <n v="3252"/>
  </r>
  <r>
    <n v="1566"/>
    <x v="3"/>
    <x v="0"/>
    <x v="0"/>
    <x v="45"/>
    <x v="0"/>
    <n v="15660"/>
  </r>
  <r>
    <n v="2966"/>
    <x v="3"/>
    <x v="2"/>
    <x v="0"/>
    <x v="61"/>
    <x v="0"/>
    <n v="771160"/>
  </r>
  <r>
    <n v="2877"/>
    <x v="3"/>
    <x v="2"/>
    <x v="0"/>
    <x v="62"/>
    <x v="0"/>
    <n v="748020"/>
  </r>
  <r>
    <n v="809"/>
    <x v="3"/>
    <x v="4"/>
    <x v="0"/>
    <x v="52"/>
    <x v="0"/>
    <n v="97080"/>
  </r>
  <r>
    <n v="2145"/>
    <x v="3"/>
    <x v="4"/>
    <x v="0"/>
    <x v="53"/>
    <x v="0"/>
    <n v="257400"/>
  </r>
  <r>
    <n v="1055"/>
    <x v="3"/>
    <x v="3"/>
    <x v="0"/>
    <x v="59"/>
    <x v="0"/>
    <n v="3165"/>
  </r>
  <r>
    <n v="544"/>
    <x v="3"/>
    <x v="0"/>
    <x v="0"/>
    <x v="63"/>
    <x v="0"/>
    <n v="5440"/>
  </r>
  <r>
    <n v="1084"/>
    <x v="3"/>
    <x v="3"/>
    <x v="0"/>
    <x v="60"/>
    <x v="0"/>
    <n v="3252"/>
  </r>
  <r>
    <n v="662"/>
    <x v="4"/>
    <x v="4"/>
    <x v="0"/>
    <x v="51"/>
    <x v="0"/>
    <n v="79440"/>
  </r>
  <r>
    <n v="214"/>
    <x v="4"/>
    <x v="5"/>
    <x v="0"/>
    <x v="41"/>
    <x v="0"/>
    <n v="53500"/>
  </r>
  <r>
    <n v="2877"/>
    <x v="4"/>
    <x v="2"/>
    <x v="0"/>
    <x v="62"/>
    <x v="0"/>
    <n v="748020"/>
  </r>
  <r>
    <n v="2729"/>
    <x v="4"/>
    <x v="4"/>
    <x v="0"/>
    <x v="56"/>
    <x v="0"/>
    <n v="327480"/>
  </r>
  <r>
    <n v="266"/>
    <x v="4"/>
    <x v="2"/>
    <x v="0"/>
    <x v="64"/>
    <x v="0"/>
    <n v="69160"/>
  </r>
  <r>
    <n v="1940"/>
    <x v="4"/>
    <x v="2"/>
    <x v="0"/>
    <x v="65"/>
    <x v="0"/>
    <n v="504400"/>
  </r>
  <r>
    <n v="259"/>
    <x v="5"/>
    <x v="5"/>
    <x v="0"/>
    <x v="66"/>
    <x v="0"/>
    <n v="64750"/>
  </r>
  <r>
    <n v="1101"/>
    <x v="5"/>
    <x v="5"/>
    <x v="0"/>
    <x v="67"/>
    <x v="0"/>
    <n v="275250"/>
  </r>
  <r>
    <n v="2276"/>
    <x v="5"/>
    <x v="4"/>
    <x v="0"/>
    <x v="68"/>
    <x v="0"/>
    <n v="273120"/>
  </r>
  <r>
    <n v="2966"/>
    <x v="5"/>
    <x v="2"/>
    <x v="0"/>
    <x v="61"/>
    <x v="0"/>
    <n v="771160"/>
  </r>
  <r>
    <n v="1236"/>
    <x v="5"/>
    <x v="0"/>
    <x v="0"/>
    <x v="69"/>
    <x v="0"/>
    <n v="12360"/>
  </r>
  <r>
    <n v="941"/>
    <x v="5"/>
    <x v="0"/>
    <x v="0"/>
    <x v="70"/>
    <x v="0"/>
    <n v="9410"/>
  </r>
  <r>
    <n v="1916"/>
    <x v="5"/>
    <x v="5"/>
    <x v="0"/>
    <x v="55"/>
    <x v="0"/>
    <n v="479000"/>
  </r>
  <r>
    <n v="4243.5"/>
    <x v="0"/>
    <x v="4"/>
    <x v="0"/>
    <x v="71"/>
    <x v="0"/>
    <n v="509220"/>
  </r>
  <r>
    <n v="2580"/>
    <x v="0"/>
    <x v="0"/>
    <x v="0"/>
    <x v="72"/>
    <x v="0"/>
    <n v="25800"/>
  </r>
  <r>
    <n v="689"/>
    <x v="0"/>
    <x v="5"/>
    <x v="0"/>
    <x v="73"/>
    <x v="0"/>
    <n v="172250"/>
  </r>
  <r>
    <n v="1947"/>
    <x v="0"/>
    <x v="3"/>
    <x v="0"/>
    <x v="74"/>
    <x v="0"/>
    <n v="5841"/>
  </r>
  <r>
    <n v="908"/>
    <x v="0"/>
    <x v="3"/>
    <x v="0"/>
    <x v="75"/>
    <x v="0"/>
    <n v="2724"/>
  </r>
  <r>
    <n v="1958"/>
    <x v="1"/>
    <x v="6"/>
    <x v="0"/>
    <x v="76"/>
    <x v="0"/>
    <n v="9790"/>
  </r>
  <r>
    <n v="1901"/>
    <x v="1"/>
    <x v="3"/>
    <x v="0"/>
    <x v="77"/>
    <x v="0"/>
    <n v="5703"/>
  </r>
  <r>
    <n v="544"/>
    <x v="1"/>
    <x v="6"/>
    <x v="0"/>
    <x v="78"/>
    <x v="0"/>
    <n v="2720"/>
  </r>
  <r>
    <n v="1797"/>
    <x v="1"/>
    <x v="2"/>
    <x v="0"/>
    <x v="79"/>
    <x v="0"/>
    <n v="467220"/>
  </r>
  <r>
    <n v="1287"/>
    <x v="1"/>
    <x v="4"/>
    <x v="0"/>
    <x v="80"/>
    <x v="0"/>
    <n v="154440"/>
  </r>
  <r>
    <n v="1706"/>
    <x v="1"/>
    <x v="4"/>
    <x v="0"/>
    <x v="81"/>
    <x v="0"/>
    <n v="204720"/>
  </r>
  <r>
    <n v="2434.5"/>
    <x v="2"/>
    <x v="5"/>
    <x v="0"/>
    <x v="82"/>
    <x v="0"/>
    <n v="608625"/>
  </r>
  <r>
    <n v="1774"/>
    <x v="2"/>
    <x v="4"/>
    <x v="0"/>
    <x v="83"/>
    <x v="0"/>
    <n v="212880"/>
  </r>
  <r>
    <n v="1901"/>
    <x v="2"/>
    <x v="3"/>
    <x v="0"/>
    <x v="77"/>
    <x v="0"/>
    <n v="5703"/>
  </r>
  <r>
    <n v="689"/>
    <x v="2"/>
    <x v="5"/>
    <x v="0"/>
    <x v="73"/>
    <x v="0"/>
    <n v="172250"/>
  </r>
  <r>
    <n v="1570"/>
    <x v="2"/>
    <x v="4"/>
    <x v="0"/>
    <x v="84"/>
    <x v="0"/>
    <n v="188400"/>
  </r>
  <r>
    <n v="1369.5"/>
    <x v="2"/>
    <x v="3"/>
    <x v="0"/>
    <x v="85"/>
    <x v="0"/>
    <n v="4108.5"/>
  </r>
  <r>
    <n v="2009"/>
    <x v="2"/>
    <x v="4"/>
    <x v="0"/>
    <x v="86"/>
    <x v="0"/>
    <n v="241080"/>
  </r>
  <r>
    <n v="1945"/>
    <x v="2"/>
    <x v="1"/>
    <x v="0"/>
    <x v="87"/>
    <x v="0"/>
    <n v="19450"/>
  </r>
  <r>
    <n v="1287"/>
    <x v="2"/>
    <x v="4"/>
    <x v="0"/>
    <x v="80"/>
    <x v="0"/>
    <n v="154440"/>
  </r>
  <r>
    <n v="1706"/>
    <x v="2"/>
    <x v="4"/>
    <x v="0"/>
    <x v="81"/>
    <x v="0"/>
    <n v="204720"/>
  </r>
  <r>
    <n v="2009"/>
    <x v="3"/>
    <x v="4"/>
    <x v="0"/>
    <x v="86"/>
    <x v="0"/>
    <n v="241080"/>
  </r>
  <r>
    <n v="2844"/>
    <x v="4"/>
    <x v="5"/>
    <x v="0"/>
    <x v="88"/>
    <x v="0"/>
    <n v="711000"/>
  </r>
  <r>
    <n v="1916"/>
    <x v="4"/>
    <x v="3"/>
    <x v="0"/>
    <x v="89"/>
    <x v="0"/>
    <n v="5748"/>
  </r>
  <r>
    <n v="1570"/>
    <x v="4"/>
    <x v="4"/>
    <x v="0"/>
    <x v="84"/>
    <x v="0"/>
    <n v="188400"/>
  </r>
  <r>
    <n v="1874"/>
    <x v="4"/>
    <x v="5"/>
    <x v="0"/>
    <x v="90"/>
    <x v="0"/>
    <n v="468500"/>
  </r>
  <r>
    <n v="1642"/>
    <x v="4"/>
    <x v="2"/>
    <x v="0"/>
    <x v="91"/>
    <x v="0"/>
    <n v="426920"/>
  </r>
  <r>
    <n v="1945"/>
    <x v="4"/>
    <x v="1"/>
    <x v="0"/>
    <x v="87"/>
    <x v="0"/>
    <n v="19450"/>
  </r>
  <r>
    <n v="831"/>
    <x v="0"/>
    <x v="0"/>
    <x v="0"/>
    <x v="92"/>
    <x v="0"/>
    <n v="8310"/>
  </r>
  <r>
    <n v="1760"/>
    <x v="2"/>
    <x v="6"/>
    <x v="0"/>
    <x v="93"/>
    <x v="0"/>
    <n v="8800"/>
  </r>
  <r>
    <n v="3850.5"/>
    <x v="3"/>
    <x v="0"/>
    <x v="0"/>
    <x v="94"/>
    <x v="0"/>
    <n v="38505"/>
  </r>
  <r>
    <n v="2479"/>
    <x v="4"/>
    <x v="3"/>
    <x v="0"/>
    <x v="95"/>
    <x v="0"/>
    <n v="7437"/>
  </r>
  <r>
    <n v="2031"/>
    <x v="1"/>
    <x v="1"/>
    <x v="0"/>
    <x v="96"/>
    <x v="0"/>
    <n v="20310"/>
  </r>
  <r>
    <n v="2031"/>
    <x v="2"/>
    <x v="1"/>
    <x v="0"/>
    <x v="96"/>
    <x v="0"/>
    <n v="20310"/>
  </r>
  <r>
    <n v="2261"/>
    <x v="2"/>
    <x v="1"/>
    <x v="0"/>
    <x v="97"/>
    <x v="0"/>
    <n v="22610"/>
  </r>
  <r>
    <n v="736"/>
    <x v="3"/>
    <x v="0"/>
    <x v="0"/>
    <x v="98"/>
    <x v="0"/>
    <n v="7360"/>
  </r>
  <r>
    <n v="2851"/>
    <x v="0"/>
    <x v="6"/>
    <x v="0"/>
    <x v="99"/>
    <x v="0"/>
    <n v="14255"/>
  </r>
  <r>
    <n v="2021"/>
    <x v="0"/>
    <x v="5"/>
    <x v="0"/>
    <x v="100"/>
    <x v="0"/>
    <n v="505250"/>
  </r>
  <r>
    <n v="274"/>
    <x v="0"/>
    <x v="2"/>
    <x v="0"/>
    <x v="101"/>
    <x v="0"/>
    <n v="71240"/>
  </r>
  <r>
    <n v="1967"/>
    <x v="1"/>
    <x v="1"/>
    <x v="0"/>
    <x v="102"/>
    <x v="0"/>
    <n v="19670"/>
  </r>
  <r>
    <n v="1859"/>
    <x v="1"/>
    <x v="5"/>
    <x v="0"/>
    <x v="103"/>
    <x v="0"/>
    <n v="464750"/>
  </r>
  <r>
    <n v="2851"/>
    <x v="1"/>
    <x v="6"/>
    <x v="0"/>
    <x v="99"/>
    <x v="0"/>
    <n v="14255"/>
  </r>
  <r>
    <n v="2021"/>
    <x v="1"/>
    <x v="5"/>
    <x v="0"/>
    <x v="100"/>
    <x v="0"/>
    <n v="505250"/>
  </r>
  <r>
    <n v="1138"/>
    <x v="1"/>
    <x v="4"/>
    <x v="0"/>
    <x v="68"/>
    <x v="0"/>
    <n v="136560"/>
  </r>
  <r>
    <n v="4251"/>
    <x v="2"/>
    <x v="6"/>
    <x v="0"/>
    <x v="104"/>
    <x v="0"/>
    <n v="21255"/>
  </r>
  <r>
    <n v="795"/>
    <x v="2"/>
    <x v="4"/>
    <x v="0"/>
    <x v="105"/>
    <x v="0"/>
    <n v="95400"/>
  </r>
  <r>
    <n v="1414.5"/>
    <x v="2"/>
    <x v="5"/>
    <x v="0"/>
    <x v="106"/>
    <x v="0"/>
    <n v="353625"/>
  </r>
  <r>
    <n v="2918"/>
    <x v="2"/>
    <x v="5"/>
    <x v="0"/>
    <x v="107"/>
    <x v="0"/>
    <n v="729500"/>
  </r>
  <r>
    <n v="3450"/>
    <x v="2"/>
    <x v="2"/>
    <x v="0"/>
    <x v="108"/>
    <x v="0"/>
    <n v="897000"/>
  </r>
  <r>
    <n v="2988"/>
    <x v="2"/>
    <x v="4"/>
    <x v="0"/>
    <x v="109"/>
    <x v="0"/>
    <n v="358560"/>
  </r>
  <r>
    <n v="218"/>
    <x v="2"/>
    <x v="1"/>
    <x v="0"/>
    <x v="110"/>
    <x v="0"/>
    <n v="2180"/>
  </r>
  <r>
    <n v="2074"/>
    <x v="2"/>
    <x v="0"/>
    <x v="0"/>
    <x v="111"/>
    <x v="0"/>
    <n v="20740"/>
  </r>
  <r>
    <n v="1056"/>
    <x v="2"/>
    <x v="0"/>
    <x v="0"/>
    <x v="112"/>
    <x v="0"/>
    <n v="10560"/>
  </r>
  <r>
    <n v="671"/>
    <x v="2"/>
    <x v="1"/>
    <x v="0"/>
    <x v="113"/>
    <x v="0"/>
    <n v="6710"/>
  </r>
  <r>
    <n v="1514"/>
    <x v="2"/>
    <x v="1"/>
    <x v="0"/>
    <x v="114"/>
    <x v="0"/>
    <n v="15140"/>
  </r>
  <r>
    <n v="274"/>
    <x v="2"/>
    <x v="2"/>
    <x v="0"/>
    <x v="101"/>
    <x v="0"/>
    <n v="71240"/>
  </r>
  <r>
    <n v="1138"/>
    <x v="2"/>
    <x v="4"/>
    <x v="0"/>
    <x v="68"/>
    <x v="0"/>
    <n v="136560"/>
  </r>
  <r>
    <n v="1465"/>
    <x v="3"/>
    <x v="3"/>
    <x v="0"/>
    <x v="115"/>
    <x v="0"/>
    <n v="4395"/>
  </r>
  <r>
    <n v="2646"/>
    <x v="3"/>
    <x v="0"/>
    <x v="0"/>
    <x v="116"/>
    <x v="0"/>
    <n v="26460"/>
  </r>
  <r>
    <n v="2177"/>
    <x v="3"/>
    <x v="2"/>
    <x v="0"/>
    <x v="117"/>
    <x v="0"/>
    <n v="566020"/>
  </r>
  <r>
    <n v="866"/>
    <x v="4"/>
    <x v="3"/>
    <x v="0"/>
    <x v="118"/>
    <x v="0"/>
    <n v="2598"/>
  </r>
  <r>
    <n v="349"/>
    <x v="4"/>
    <x v="2"/>
    <x v="0"/>
    <x v="119"/>
    <x v="0"/>
    <n v="90740"/>
  </r>
  <r>
    <n v="2177"/>
    <x v="4"/>
    <x v="2"/>
    <x v="0"/>
    <x v="117"/>
    <x v="0"/>
    <n v="566020"/>
  </r>
  <r>
    <n v="1514"/>
    <x v="4"/>
    <x v="1"/>
    <x v="0"/>
    <x v="114"/>
    <x v="0"/>
    <n v="15140"/>
  </r>
  <r>
    <n v="1865"/>
    <x v="5"/>
    <x v="2"/>
    <x v="0"/>
    <x v="120"/>
    <x v="0"/>
    <n v="484900"/>
  </r>
  <r>
    <n v="1074"/>
    <x v="5"/>
    <x v="4"/>
    <x v="0"/>
    <x v="121"/>
    <x v="0"/>
    <n v="128880"/>
  </r>
  <r>
    <n v="1907"/>
    <x v="5"/>
    <x v="2"/>
    <x v="0"/>
    <x v="122"/>
    <x v="0"/>
    <n v="495820"/>
  </r>
  <r>
    <n v="671"/>
    <x v="5"/>
    <x v="1"/>
    <x v="0"/>
    <x v="113"/>
    <x v="0"/>
    <n v="6710"/>
  </r>
  <r>
    <n v="1778"/>
    <x v="5"/>
    <x v="2"/>
    <x v="0"/>
    <x v="123"/>
    <x v="0"/>
    <n v="462280"/>
  </r>
  <r>
    <n v="1159"/>
    <x v="1"/>
    <x v="6"/>
    <x v="0"/>
    <x v="124"/>
    <x v="0"/>
    <n v="5795"/>
  </r>
  <r>
    <n v="1372"/>
    <x v="2"/>
    <x v="6"/>
    <x v="0"/>
    <x v="125"/>
    <x v="0"/>
    <n v="6860"/>
  </r>
  <r>
    <n v="2349"/>
    <x v="2"/>
    <x v="6"/>
    <x v="0"/>
    <x v="126"/>
    <x v="0"/>
    <n v="11745"/>
  </r>
  <r>
    <n v="2689"/>
    <x v="2"/>
    <x v="6"/>
    <x v="0"/>
    <x v="127"/>
    <x v="0"/>
    <n v="13445"/>
  </r>
  <r>
    <n v="2431"/>
    <x v="2"/>
    <x v="3"/>
    <x v="0"/>
    <x v="128"/>
    <x v="0"/>
    <n v="7293"/>
  </r>
  <r>
    <n v="2431"/>
    <x v="3"/>
    <x v="3"/>
    <x v="0"/>
    <x v="128"/>
    <x v="0"/>
    <n v="7293"/>
  </r>
  <r>
    <n v="2689"/>
    <x v="4"/>
    <x v="6"/>
    <x v="0"/>
    <x v="127"/>
    <x v="0"/>
    <n v="13445"/>
  </r>
  <r>
    <n v="1683"/>
    <x v="5"/>
    <x v="6"/>
    <x v="0"/>
    <x v="129"/>
    <x v="0"/>
    <n v="8415"/>
  </r>
  <r>
    <n v="1123"/>
    <x v="5"/>
    <x v="3"/>
    <x v="0"/>
    <x v="130"/>
    <x v="0"/>
    <n v="3369"/>
  </r>
  <r>
    <n v="1159"/>
    <x v="5"/>
    <x v="6"/>
    <x v="0"/>
    <x v="124"/>
    <x v="0"/>
    <n v="5795"/>
  </r>
  <r>
    <n v="1865"/>
    <x v="0"/>
    <x v="3"/>
    <x v="0"/>
    <x v="131"/>
    <x v="0"/>
    <n v="5595"/>
  </r>
  <r>
    <n v="1116"/>
    <x v="0"/>
    <x v="3"/>
    <x v="0"/>
    <x v="132"/>
    <x v="0"/>
    <n v="3348"/>
  </r>
  <r>
    <n v="1563"/>
    <x v="0"/>
    <x v="0"/>
    <x v="0"/>
    <x v="133"/>
    <x v="0"/>
    <n v="15630"/>
  </r>
  <r>
    <n v="991"/>
    <x v="0"/>
    <x v="5"/>
    <x v="0"/>
    <x v="134"/>
    <x v="0"/>
    <n v="247750"/>
  </r>
  <r>
    <n v="1016"/>
    <x v="0"/>
    <x v="6"/>
    <x v="0"/>
    <x v="135"/>
    <x v="0"/>
    <n v="5080"/>
  </r>
  <r>
    <n v="2791"/>
    <x v="0"/>
    <x v="1"/>
    <x v="0"/>
    <x v="136"/>
    <x v="0"/>
    <n v="27910"/>
  </r>
  <r>
    <n v="570"/>
    <x v="0"/>
    <x v="6"/>
    <x v="0"/>
    <x v="137"/>
    <x v="0"/>
    <n v="2850"/>
  </r>
  <r>
    <n v="2487"/>
    <x v="0"/>
    <x v="6"/>
    <x v="0"/>
    <x v="138"/>
    <x v="0"/>
    <n v="12435"/>
  </r>
  <r>
    <n v="1384.5"/>
    <x v="1"/>
    <x v="2"/>
    <x v="0"/>
    <x v="139"/>
    <x v="0"/>
    <n v="359970"/>
  </r>
  <r>
    <n v="3627"/>
    <x v="1"/>
    <x v="4"/>
    <x v="0"/>
    <x v="140"/>
    <x v="0"/>
    <n v="435240"/>
  </r>
  <r>
    <n v="720"/>
    <x v="1"/>
    <x v="2"/>
    <x v="0"/>
    <x v="141"/>
    <x v="0"/>
    <n v="187200"/>
  </r>
  <r>
    <n v="2342"/>
    <x v="1"/>
    <x v="3"/>
    <x v="0"/>
    <x v="142"/>
    <x v="0"/>
    <n v="7026"/>
  </r>
  <r>
    <n v="1100"/>
    <x v="1"/>
    <x v="5"/>
    <x v="0"/>
    <x v="143"/>
    <x v="0"/>
    <n v="275000"/>
  </r>
  <r>
    <n v="1303"/>
    <x v="2"/>
    <x v="0"/>
    <x v="0"/>
    <x v="144"/>
    <x v="0"/>
    <n v="13030"/>
  </r>
  <r>
    <n v="2992"/>
    <x v="2"/>
    <x v="4"/>
    <x v="0"/>
    <x v="145"/>
    <x v="0"/>
    <n v="359040"/>
  </r>
  <r>
    <n v="2385"/>
    <x v="2"/>
    <x v="4"/>
    <x v="0"/>
    <x v="146"/>
    <x v="0"/>
    <n v="286200"/>
  </r>
  <r>
    <n v="1607"/>
    <x v="2"/>
    <x v="5"/>
    <x v="0"/>
    <x v="147"/>
    <x v="0"/>
    <n v="401750"/>
  </r>
  <r>
    <n v="2327"/>
    <x v="2"/>
    <x v="6"/>
    <x v="0"/>
    <x v="148"/>
    <x v="0"/>
    <n v="11635"/>
  </r>
  <r>
    <n v="991"/>
    <x v="2"/>
    <x v="5"/>
    <x v="0"/>
    <x v="134"/>
    <x v="0"/>
    <n v="247750"/>
  </r>
  <r>
    <n v="602"/>
    <x v="2"/>
    <x v="2"/>
    <x v="0"/>
    <x v="149"/>
    <x v="0"/>
    <n v="156520"/>
  </r>
  <r>
    <n v="2620"/>
    <x v="2"/>
    <x v="1"/>
    <x v="0"/>
    <x v="150"/>
    <x v="0"/>
    <n v="26200"/>
  </r>
  <r>
    <n v="1228"/>
    <x v="2"/>
    <x v="2"/>
    <x v="0"/>
    <x v="151"/>
    <x v="0"/>
    <n v="319280"/>
  </r>
  <r>
    <n v="1389"/>
    <x v="2"/>
    <x v="0"/>
    <x v="0"/>
    <x v="152"/>
    <x v="0"/>
    <n v="13890"/>
  </r>
  <r>
    <n v="861"/>
    <x v="2"/>
    <x v="4"/>
    <x v="0"/>
    <x v="153"/>
    <x v="0"/>
    <n v="103320"/>
  </r>
  <r>
    <n v="704"/>
    <x v="2"/>
    <x v="4"/>
    <x v="0"/>
    <x v="154"/>
    <x v="0"/>
    <n v="84480"/>
  </r>
  <r>
    <n v="1802"/>
    <x v="2"/>
    <x v="0"/>
    <x v="0"/>
    <x v="155"/>
    <x v="0"/>
    <n v="18020"/>
  </r>
  <r>
    <n v="2663"/>
    <x v="2"/>
    <x v="0"/>
    <x v="0"/>
    <x v="156"/>
    <x v="0"/>
    <n v="26630"/>
  </r>
  <r>
    <n v="2136"/>
    <x v="2"/>
    <x v="6"/>
    <x v="0"/>
    <x v="157"/>
    <x v="0"/>
    <n v="10680"/>
  </r>
  <r>
    <n v="2116"/>
    <x v="2"/>
    <x v="1"/>
    <x v="0"/>
    <x v="158"/>
    <x v="0"/>
    <n v="21160"/>
  </r>
  <r>
    <n v="555"/>
    <x v="3"/>
    <x v="1"/>
    <x v="0"/>
    <x v="159"/>
    <x v="0"/>
    <n v="5550"/>
  </r>
  <r>
    <n v="2861"/>
    <x v="3"/>
    <x v="1"/>
    <x v="0"/>
    <x v="160"/>
    <x v="0"/>
    <n v="28610"/>
  </r>
  <r>
    <n v="807"/>
    <x v="3"/>
    <x v="4"/>
    <x v="0"/>
    <x v="161"/>
    <x v="0"/>
    <n v="96840"/>
  </r>
  <r>
    <n v="602"/>
    <x v="3"/>
    <x v="2"/>
    <x v="0"/>
    <x v="149"/>
    <x v="0"/>
    <n v="156520"/>
  </r>
  <r>
    <n v="2832"/>
    <x v="3"/>
    <x v="0"/>
    <x v="0"/>
    <x v="162"/>
    <x v="0"/>
    <n v="28320"/>
  </r>
  <r>
    <n v="1579"/>
    <x v="3"/>
    <x v="0"/>
    <x v="0"/>
    <x v="163"/>
    <x v="0"/>
    <n v="15790"/>
  </r>
  <r>
    <n v="861"/>
    <x v="3"/>
    <x v="4"/>
    <x v="0"/>
    <x v="153"/>
    <x v="0"/>
    <n v="103320"/>
  </r>
  <r>
    <n v="704"/>
    <x v="3"/>
    <x v="4"/>
    <x v="0"/>
    <x v="154"/>
    <x v="0"/>
    <n v="84480"/>
  </r>
  <r>
    <n v="1033"/>
    <x v="3"/>
    <x v="0"/>
    <x v="0"/>
    <x v="164"/>
    <x v="0"/>
    <n v="10330"/>
  </r>
  <r>
    <n v="1250"/>
    <x v="3"/>
    <x v="5"/>
    <x v="0"/>
    <x v="165"/>
    <x v="0"/>
    <n v="312500"/>
  </r>
  <r>
    <n v="1389"/>
    <x v="4"/>
    <x v="0"/>
    <x v="0"/>
    <x v="152"/>
    <x v="0"/>
    <n v="13890"/>
  </r>
  <r>
    <n v="1265"/>
    <x v="4"/>
    <x v="0"/>
    <x v="0"/>
    <x v="166"/>
    <x v="0"/>
    <n v="12650"/>
  </r>
  <r>
    <n v="2297"/>
    <x v="4"/>
    <x v="0"/>
    <x v="0"/>
    <x v="167"/>
    <x v="0"/>
    <n v="22970"/>
  </r>
  <r>
    <n v="2663"/>
    <x v="4"/>
    <x v="0"/>
    <x v="0"/>
    <x v="156"/>
    <x v="0"/>
    <n v="26630"/>
  </r>
  <r>
    <n v="570"/>
    <x v="4"/>
    <x v="6"/>
    <x v="0"/>
    <x v="137"/>
    <x v="0"/>
    <n v="2850"/>
  </r>
  <r>
    <n v="2487"/>
    <x v="4"/>
    <x v="6"/>
    <x v="0"/>
    <x v="138"/>
    <x v="0"/>
    <n v="12435"/>
  </r>
  <r>
    <n v="1350"/>
    <x v="5"/>
    <x v="2"/>
    <x v="0"/>
    <x v="168"/>
    <x v="0"/>
    <n v="351000"/>
  </r>
  <r>
    <n v="552"/>
    <x v="5"/>
    <x v="2"/>
    <x v="0"/>
    <x v="169"/>
    <x v="0"/>
    <n v="143520"/>
  </r>
  <r>
    <n v="1228"/>
    <x v="5"/>
    <x v="2"/>
    <x v="0"/>
    <x v="151"/>
    <x v="0"/>
    <n v="319280"/>
  </r>
  <r>
    <n v="1250"/>
    <x v="5"/>
    <x v="5"/>
    <x v="0"/>
    <x v="165"/>
    <x v="0"/>
    <n v="312500"/>
  </r>
  <r>
    <n v="3801"/>
    <x v="2"/>
    <x v="1"/>
    <x v="0"/>
    <x v="170"/>
    <x v="0"/>
    <n v="38010"/>
  </r>
  <r>
    <n v="1117.5"/>
    <x v="0"/>
    <x v="0"/>
    <x v="0"/>
    <x v="171"/>
    <x v="0"/>
    <n v="11175"/>
  </r>
  <r>
    <n v="2844"/>
    <x v="0"/>
    <x v="1"/>
    <x v="0"/>
    <x v="172"/>
    <x v="0"/>
    <n v="28440"/>
  </r>
  <r>
    <n v="562"/>
    <x v="0"/>
    <x v="3"/>
    <x v="0"/>
    <x v="173"/>
    <x v="0"/>
    <n v="1686"/>
  </r>
  <r>
    <n v="2299"/>
    <x v="0"/>
    <x v="3"/>
    <x v="0"/>
    <x v="174"/>
    <x v="0"/>
    <n v="6897"/>
  </r>
  <r>
    <n v="2030"/>
    <x v="0"/>
    <x v="1"/>
    <x v="0"/>
    <x v="175"/>
    <x v="0"/>
    <n v="20300"/>
  </r>
  <r>
    <n v="263"/>
    <x v="0"/>
    <x v="6"/>
    <x v="0"/>
    <x v="176"/>
    <x v="0"/>
    <n v="1315"/>
  </r>
  <r>
    <n v="887"/>
    <x v="0"/>
    <x v="4"/>
    <x v="0"/>
    <x v="83"/>
    <x v="0"/>
    <n v="106440"/>
  </r>
  <r>
    <n v="980"/>
    <x v="1"/>
    <x v="2"/>
    <x v="0"/>
    <x v="177"/>
    <x v="0"/>
    <n v="254800"/>
  </r>
  <r>
    <n v="1460"/>
    <x v="1"/>
    <x v="2"/>
    <x v="0"/>
    <x v="178"/>
    <x v="0"/>
    <n v="379600"/>
  </r>
  <r>
    <n v="1403"/>
    <x v="1"/>
    <x v="6"/>
    <x v="0"/>
    <x v="179"/>
    <x v="0"/>
    <n v="7015"/>
  </r>
  <r>
    <n v="2723"/>
    <x v="1"/>
    <x v="3"/>
    <x v="0"/>
    <x v="180"/>
    <x v="0"/>
    <n v="8169"/>
  </r>
  <r>
    <n v="1496"/>
    <x v="2"/>
    <x v="2"/>
    <x v="0"/>
    <x v="181"/>
    <x v="0"/>
    <n v="388960"/>
  </r>
  <r>
    <n v="2299"/>
    <x v="2"/>
    <x v="3"/>
    <x v="0"/>
    <x v="174"/>
    <x v="0"/>
    <n v="6897"/>
  </r>
  <r>
    <n v="727"/>
    <x v="2"/>
    <x v="2"/>
    <x v="0"/>
    <x v="182"/>
    <x v="0"/>
    <n v="189020"/>
  </r>
  <r>
    <n v="952"/>
    <x v="3"/>
    <x v="4"/>
    <x v="0"/>
    <x v="183"/>
    <x v="0"/>
    <n v="114240"/>
  </r>
  <r>
    <n v="2755"/>
    <x v="3"/>
    <x v="4"/>
    <x v="0"/>
    <x v="184"/>
    <x v="0"/>
    <n v="330600"/>
  </r>
  <r>
    <n v="1530"/>
    <x v="3"/>
    <x v="1"/>
    <x v="0"/>
    <x v="185"/>
    <x v="0"/>
    <n v="15300"/>
  </r>
  <r>
    <n v="1496"/>
    <x v="3"/>
    <x v="2"/>
    <x v="0"/>
    <x v="181"/>
    <x v="0"/>
    <n v="388960"/>
  </r>
  <r>
    <n v="1498"/>
    <x v="3"/>
    <x v="6"/>
    <x v="0"/>
    <x v="186"/>
    <x v="0"/>
    <n v="7490"/>
  </r>
  <r>
    <n v="1221"/>
    <x v="3"/>
    <x v="5"/>
    <x v="0"/>
    <x v="187"/>
    <x v="0"/>
    <n v="305250"/>
  </r>
  <r>
    <n v="2076"/>
    <x v="3"/>
    <x v="2"/>
    <x v="0"/>
    <x v="188"/>
    <x v="0"/>
    <n v="539760"/>
  </r>
  <r>
    <n v="2844"/>
    <x v="4"/>
    <x v="1"/>
    <x v="0"/>
    <x v="172"/>
    <x v="0"/>
    <n v="28440"/>
  </r>
  <r>
    <n v="1498"/>
    <x v="4"/>
    <x v="6"/>
    <x v="0"/>
    <x v="186"/>
    <x v="0"/>
    <n v="7490"/>
  </r>
  <r>
    <n v="1221"/>
    <x v="4"/>
    <x v="5"/>
    <x v="0"/>
    <x v="187"/>
    <x v="0"/>
    <n v="305250"/>
  </r>
  <r>
    <n v="1123"/>
    <x v="4"/>
    <x v="0"/>
    <x v="0"/>
    <x v="189"/>
    <x v="0"/>
    <n v="11230"/>
  </r>
  <r>
    <n v="2436"/>
    <x v="4"/>
    <x v="5"/>
    <x v="0"/>
    <x v="190"/>
    <x v="0"/>
    <n v="609000"/>
  </r>
  <r>
    <n v="1987.5"/>
    <x v="5"/>
    <x v="4"/>
    <x v="0"/>
    <x v="146"/>
    <x v="0"/>
    <n v="238500"/>
  </r>
  <r>
    <n v="1679"/>
    <x v="5"/>
    <x v="2"/>
    <x v="0"/>
    <x v="191"/>
    <x v="0"/>
    <n v="436540"/>
  </r>
  <r>
    <n v="727"/>
    <x v="5"/>
    <x v="2"/>
    <x v="0"/>
    <x v="182"/>
    <x v="0"/>
    <n v="189020"/>
  </r>
  <r>
    <n v="1403"/>
    <x v="5"/>
    <x v="6"/>
    <x v="0"/>
    <x v="179"/>
    <x v="0"/>
    <n v="7015"/>
  </r>
  <r>
    <n v="2076"/>
    <x v="5"/>
    <x v="2"/>
    <x v="0"/>
    <x v="188"/>
    <x v="0"/>
    <n v="539760"/>
  </r>
  <r>
    <n v="1757"/>
    <x v="1"/>
    <x v="0"/>
    <x v="0"/>
    <x v="192"/>
    <x v="0"/>
    <n v="17570"/>
  </r>
  <r>
    <n v="2198"/>
    <x v="2"/>
    <x v="1"/>
    <x v="0"/>
    <x v="193"/>
    <x v="0"/>
    <n v="21980"/>
  </r>
  <r>
    <n v="1743"/>
    <x v="2"/>
    <x v="1"/>
    <x v="0"/>
    <x v="194"/>
    <x v="0"/>
    <n v="17430"/>
  </r>
  <r>
    <n v="1153"/>
    <x v="2"/>
    <x v="1"/>
    <x v="0"/>
    <x v="195"/>
    <x v="0"/>
    <n v="11530"/>
  </r>
  <r>
    <n v="1757"/>
    <x v="2"/>
    <x v="0"/>
    <x v="0"/>
    <x v="192"/>
    <x v="0"/>
    <n v="17570"/>
  </r>
  <r>
    <n v="1001"/>
    <x v="3"/>
    <x v="0"/>
    <x v="0"/>
    <x v="196"/>
    <x v="0"/>
    <n v="10010"/>
  </r>
  <r>
    <n v="1333"/>
    <x v="3"/>
    <x v="6"/>
    <x v="0"/>
    <x v="197"/>
    <x v="0"/>
    <n v="6665"/>
  </r>
  <r>
    <n v="1153"/>
    <x v="4"/>
    <x v="1"/>
    <x v="0"/>
    <x v="195"/>
    <x v="0"/>
    <n v="11530"/>
  </r>
  <r>
    <n v="727"/>
    <x v="0"/>
    <x v="3"/>
    <x v="0"/>
    <x v="198"/>
    <x v="0"/>
    <n v="2181"/>
  </r>
  <r>
    <n v="1884"/>
    <x v="0"/>
    <x v="3"/>
    <x v="0"/>
    <x v="199"/>
    <x v="0"/>
    <n v="5652"/>
  </r>
  <r>
    <n v="1834"/>
    <x v="0"/>
    <x v="0"/>
    <x v="0"/>
    <x v="200"/>
    <x v="0"/>
    <n v="18340"/>
  </r>
  <r>
    <n v="2340"/>
    <x v="1"/>
    <x v="3"/>
    <x v="0"/>
    <x v="201"/>
    <x v="0"/>
    <n v="7020"/>
  </r>
  <r>
    <n v="2342"/>
    <x v="1"/>
    <x v="3"/>
    <x v="0"/>
    <x v="202"/>
    <x v="0"/>
    <n v="7026"/>
  </r>
  <r>
    <n v="1031"/>
    <x v="2"/>
    <x v="6"/>
    <x v="0"/>
    <x v="203"/>
    <x v="0"/>
    <n v="5155"/>
  </r>
  <r>
    <n v="1262"/>
    <x v="3"/>
    <x v="1"/>
    <x v="0"/>
    <x v="204"/>
    <x v="0"/>
    <n v="12620"/>
  </r>
  <r>
    <n v="1135"/>
    <x v="3"/>
    <x v="6"/>
    <x v="0"/>
    <x v="205"/>
    <x v="0"/>
    <n v="5675"/>
  </r>
  <r>
    <n v="547"/>
    <x v="3"/>
    <x v="6"/>
    <x v="0"/>
    <x v="206"/>
    <x v="0"/>
    <n v="2735"/>
  </r>
  <r>
    <n v="1582"/>
    <x v="3"/>
    <x v="6"/>
    <x v="0"/>
    <x v="207"/>
    <x v="0"/>
    <n v="7910"/>
  </r>
  <r>
    <n v="1738.5"/>
    <x v="4"/>
    <x v="3"/>
    <x v="0"/>
    <x v="208"/>
    <x v="0"/>
    <n v="5215.5"/>
  </r>
  <r>
    <n v="2215"/>
    <x v="4"/>
    <x v="3"/>
    <x v="0"/>
    <x v="209"/>
    <x v="0"/>
    <n v="6645"/>
  </r>
  <r>
    <n v="1582"/>
    <x v="4"/>
    <x v="6"/>
    <x v="0"/>
    <x v="207"/>
    <x v="0"/>
    <n v="7910"/>
  </r>
  <r>
    <n v="1135"/>
    <x v="5"/>
    <x v="6"/>
    <x v="0"/>
    <x v="205"/>
    <x v="0"/>
    <n v="5675"/>
  </r>
  <r>
    <n v="1761"/>
    <x v="0"/>
    <x v="2"/>
    <x v="0"/>
    <x v="210"/>
    <x v="0"/>
    <n v="457860"/>
  </r>
  <r>
    <n v="448"/>
    <x v="0"/>
    <x v="5"/>
    <x v="0"/>
    <x v="211"/>
    <x v="0"/>
    <n v="112000"/>
  </r>
  <r>
    <n v="2181"/>
    <x v="0"/>
    <x v="5"/>
    <x v="0"/>
    <x v="212"/>
    <x v="0"/>
    <n v="545250"/>
  </r>
  <r>
    <n v="1976"/>
    <x v="1"/>
    <x v="0"/>
    <x v="0"/>
    <x v="213"/>
    <x v="0"/>
    <n v="19760"/>
  </r>
  <r>
    <n v="2181"/>
    <x v="1"/>
    <x v="5"/>
    <x v="0"/>
    <x v="212"/>
    <x v="0"/>
    <n v="545250"/>
  </r>
  <r>
    <n v="2500"/>
    <x v="1"/>
    <x v="4"/>
    <x v="0"/>
    <x v="214"/>
    <x v="0"/>
    <n v="300000"/>
  </r>
  <r>
    <n v="1702"/>
    <x v="2"/>
    <x v="5"/>
    <x v="0"/>
    <x v="215"/>
    <x v="0"/>
    <n v="425500"/>
  </r>
  <r>
    <n v="448"/>
    <x v="2"/>
    <x v="5"/>
    <x v="0"/>
    <x v="211"/>
    <x v="0"/>
    <n v="112000"/>
  </r>
  <r>
    <n v="3513"/>
    <x v="2"/>
    <x v="4"/>
    <x v="0"/>
    <x v="216"/>
    <x v="0"/>
    <n v="421560"/>
  </r>
  <r>
    <n v="2101"/>
    <x v="2"/>
    <x v="1"/>
    <x v="0"/>
    <x v="217"/>
    <x v="0"/>
    <n v="21010"/>
  </r>
  <r>
    <n v="2931"/>
    <x v="2"/>
    <x v="1"/>
    <x v="0"/>
    <x v="218"/>
    <x v="0"/>
    <n v="29310"/>
  </r>
  <r>
    <n v="1535"/>
    <x v="2"/>
    <x v="0"/>
    <x v="0"/>
    <x v="219"/>
    <x v="0"/>
    <n v="15350"/>
  </r>
  <r>
    <n v="1123"/>
    <x v="2"/>
    <x v="5"/>
    <x v="0"/>
    <x v="220"/>
    <x v="0"/>
    <n v="280750"/>
  </r>
  <r>
    <n v="1404"/>
    <x v="2"/>
    <x v="5"/>
    <x v="0"/>
    <x v="221"/>
    <x v="0"/>
    <n v="351000"/>
  </r>
  <r>
    <n v="2763"/>
    <x v="2"/>
    <x v="3"/>
    <x v="0"/>
    <x v="222"/>
    <x v="0"/>
    <n v="8289"/>
  </r>
  <r>
    <n v="2125"/>
    <x v="2"/>
    <x v="6"/>
    <x v="0"/>
    <x v="223"/>
    <x v="0"/>
    <n v="10625"/>
  </r>
  <r>
    <n v="1659"/>
    <x v="3"/>
    <x v="5"/>
    <x v="0"/>
    <x v="224"/>
    <x v="0"/>
    <n v="414750"/>
  </r>
  <r>
    <n v="609"/>
    <x v="3"/>
    <x v="0"/>
    <x v="0"/>
    <x v="225"/>
    <x v="0"/>
    <n v="6090"/>
  </r>
  <r>
    <n v="2087"/>
    <x v="3"/>
    <x v="4"/>
    <x v="0"/>
    <x v="226"/>
    <x v="0"/>
    <n v="250440"/>
  </r>
  <r>
    <n v="1976"/>
    <x v="3"/>
    <x v="0"/>
    <x v="0"/>
    <x v="213"/>
    <x v="0"/>
    <n v="19760"/>
  </r>
  <r>
    <n v="1421"/>
    <x v="3"/>
    <x v="0"/>
    <x v="0"/>
    <x v="227"/>
    <x v="0"/>
    <n v="14210"/>
  </r>
  <r>
    <n v="1372"/>
    <x v="3"/>
    <x v="5"/>
    <x v="0"/>
    <x v="228"/>
    <x v="0"/>
    <n v="343000"/>
  </r>
  <r>
    <n v="588"/>
    <x v="3"/>
    <x v="0"/>
    <x v="0"/>
    <x v="229"/>
    <x v="0"/>
    <n v="5880"/>
  </r>
  <r>
    <n v="3244.5"/>
    <x v="4"/>
    <x v="3"/>
    <x v="0"/>
    <x v="230"/>
    <x v="0"/>
    <n v="9733.5"/>
  </r>
  <r>
    <n v="959"/>
    <x v="4"/>
    <x v="5"/>
    <x v="0"/>
    <x v="62"/>
    <x v="0"/>
    <n v="239750"/>
  </r>
  <r>
    <n v="2747"/>
    <x v="4"/>
    <x v="5"/>
    <x v="0"/>
    <x v="231"/>
    <x v="0"/>
    <n v="686750"/>
  </r>
  <r>
    <n v="1645"/>
    <x v="5"/>
    <x v="4"/>
    <x v="0"/>
    <x v="232"/>
    <x v="0"/>
    <n v="197400"/>
  </r>
  <r>
    <n v="2876"/>
    <x v="5"/>
    <x v="2"/>
    <x v="0"/>
    <x v="233"/>
    <x v="0"/>
    <n v="747760"/>
  </r>
  <r>
    <n v="994"/>
    <x v="5"/>
    <x v="4"/>
    <x v="0"/>
    <x v="234"/>
    <x v="0"/>
    <n v="119280"/>
  </r>
  <r>
    <n v="1118"/>
    <x v="5"/>
    <x v="0"/>
    <x v="0"/>
    <x v="235"/>
    <x v="0"/>
    <n v="11180"/>
  </r>
  <r>
    <n v="1372"/>
    <x v="5"/>
    <x v="5"/>
    <x v="0"/>
    <x v="228"/>
    <x v="0"/>
    <n v="343000"/>
  </r>
  <r>
    <n v="488"/>
    <x v="1"/>
    <x v="6"/>
    <x v="0"/>
    <x v="236"/>
    <x v="0"/>
    <n v="2440"/>
  </r>
  <r>
    <n v="1282"/>
    <x v="1"/>
    <x v="0"/>
    <x v="0"/>
    <x v="237"/>
    <x v="0"/>
    <n v="12820"/>
  </r>
  <r>
    <n v="257"/>
    <x v="2"/>
    <x v="6"/>
    <x v="0"/>
    <x v="238"/>
    <x v="0"/>
    <n v="1285"/>
  </r>
  <r>
    <n v="1282"/>
    <x v="5"/>
    <x v="0"/>
    <x v="0"/>
    <x v="237"/>
    <x v="0"/>
    <n v="12820"/>
  </r>
  <r>
    <n v="1540"/>
    <x v="0"/>
    <x v="4"/>
    <x v="0"/>
    <x v="239"/>
    <x v="0"/>
    <n v="184800"/>
  </r>
  <r>
    <n v="490"/>
    <x v="0"/>
    <x v="1"/>
    <x v="0"/>
    <x v="240"/>
    <x v="0"/>
    <n v="4900"/>
  </r>
  <r>
    <n v="1362"/>
    <x v="0"/>
    <x v="2"/>
    <x v="0"/>
    <x v="241"/>
    <x v="0"/>
    <n v="354120"/>
  </r>
  <r>
    <n v="2501"/>
    <x v="1"/>
    <x v="1"/>
    <x v="0"/>
    <x v="242"/>
    <x v="0"/>
    <n v="25010"/>
  </r>
  <r>
    <n v="708"/>
    <x v="1"/>
    <x v="0"/>
    <x v="0"/>
    <x v="243"/>
    <x v="0"/>
    <n v="7080"/>
  </r>
  <r>
    <n v="645"/>
    <x v="1"/>
    <x v="0"/>
    <x v="0"/>
    <x v="244"/>
    <x v="0"/>
    <n v="6450"/>
  </r>
  <r>
    <n v="1562"/>
    <x v="1"/>
    <x v="5"/>
    <x v="0"/>
    <x v="245"/>
    <x v="0"/>
    <n v="390500"/>
  </r>
  <r>
    <n v="1283"/>
    <x v="1"/>
    <x v="5"/>
    <x v="0"/>
    <x v="246"/>
    <x v="0"/>
    <n v="320750"/>
  </r>
  <r>
    <n v="711"/>
    <x v="1"/>
    <x v="1"/>
    <x v="0"/>
    <x v="247"/>
    <x v="0"/>
    <n v="7110"/>
  </r>
  <r>
    <n v="1114"/>
    <x v="2"/>
    <x v="4"/>
    <x v="0"/>
    <x v="248"/>
    <x v="0"/>
    <n v="133680"/>
  </r>
  <r>
    <n v="1259"/>
    <x v="2"/>
    <x v="6"/>
    <x v="0"/>
    <x v="249"/>
    <x v="0"/>
    <n v="6295"/>
  </r>
  <r>
    <n v="1095"/>
    <x v="2"/>
    <x v="6"/>
    <x v="0"/>
    <x v="250"/>
    <x v="0"/>
    <n v="5475"/>
  </r>
  <r>
    <n v="1366"/>
    <x v="2"/>
    <x v="0"/>
    <x v="0"/>
    <x v="251"/>
    <x v="0"/>
    <n v="13660"/>
  </r>
  <r>
    <n v="2460"/>
    <x v="2"/>
    <x v="5"/>
    <x v="0"/>
    <x v="252"/>
    <x v="0"/>
    <n v="615000"/>
  </r>
  <r>
    <n v="678"/>
    <x v="2"/>
    <x v="6"/>
    <x v="0"/>
    <x v="253"/>
    <x v="0"/>
    <n v="3390"/>
  </r>
  <r>
    <n v="1598"/>
    <x v="2"/>
    <x v="6"/>
    <x v="0"/>
    <x v="254"/>
    <x v="0"/>
    <n v="7990"/>
  </r>
  <r>
    <n v="2409"/>
    <x v="2"/>
    <x v="6"/>
    <x v="0"/>
    <x v="255"/>
    <x v="0"/>
    <n v="12045"/>
  </r>
  <r>
    <n v="1934"/>
    <x v="2"/>
    <x v="0"/>
    <x v="0"/>
    <x v="256"/>
    <x v="0"/>
    <n v="19340"/>
  </r>
  <r>
    <n v="2993"/>
    <x v="2"/>
    <x v="0"/>
    <x v="0"/>
    <x v="257"/>
    <x v="0"/>
    <n v="29930"/>
  </r>
  <r>
    <n v="2146"/>
    <x v="2"/>
    <x v="2"/>
    <x v="0"/>
    <x v="258"/>
    <x v="0"/>
    <n v="557960"/>
  </r>
  <r>
    <n v="1946"/>
    <x v="2"/>
    <x v="6"/>
    <x v="0"/>
    <x v="259"/>
    <x v="0"/>
    <n v="9730"/>
  </r>
  <r>
    <n v="1362"/>
    <x v="2"/>
    <x v="2"/>
    <x v="0"/>
    <x v="241"/>
    <x v="0"/>
    <n v="354120"/>
  </r>
  <r>
    <n v="598"/>
    <x v="3"/>
    <x v="3"/>
    <x v="0"/>
    <x v="260"/>
    <x v="0"/>
    <n v="1794"/>
  </r>
  <r>
    <n v="2907"/>
    <x v="3"/>
    <x v="6"/>
    <x v="0"/>
    <x v="261"/>
    <x v="0"/>
    <n v="14535"/>
  </r>
  <r>
    <n v="2338"/>
    <x v="3"/>
    <x v="6"/>
    <x v="0"/>
    <x v="262"/>
    <x v="0"/>
    <n v="11690"/>
  </r>
  <r>
    <n v="386"/>
    <x v="3"/>
    <x v="5"/>
    <x v="0"/>
    <x v="263"/>
    <x v="0"/>
    <n v="96500"/>
  </r>
  <r>
    <n v="635"/>
    <x v="3"/>
    <x v="5"/>
    <x v="0"/>
    <x v="264"/>
    <x v="0"/>
    <n v="158750"/>
  </r>
  <r>
    <n v="574.5"/>
    <x v="4"/>
    <x v="2"/>
    <x v="0"/>
    <x v="265"/>
    <x v="0"/>
    <n v="149370"/>
  </r>
  <r>
    <n v="2338"/>
    <x v="4"/>
    <x v="6"/>
    <x v="0"/>
    <x v="262"/>
    <x v="0"/>
    <n v="11690"/>
  </r>
  <r>
    <n v="381"/>
    <x v="4"/>
    <x v="2"/>
    <x v="0"/>
    <x v="266"/>
    <x v="0"/>
    <n v="99060"/>
  </r>
  <r>
    <n v="422"/>
    <x v="4"/>
    <x v="2"/>
    <x v="0"/>
    <x v="267"/>
    <x v="0"/>
    <n v="109720"/>
  </r>
  <r>
    <n v="2134"/>
    <x v="4"/>
    <x v="5"/>
    <x v="0"/>
    <x v="268"/>
    <x v="0"/>
    <n v="533500"/>
  </r>
  <r>
    <n v="808"/>
    <x v="4"/>
    <x v="5"/>
    <x v="0"/>
    <x v="269"/>
    <x v="0"/>
    <n v="202000"/>
  </r>
  <r>
    <n v="708"/>
    <x v="5"/>
    <x v="0"/>
    <x v="0"/>
    <x v="243"/>
    <x v="0"/>
    <n v="7080"/>
  </r>
  <r>
    <n v="2907"/>
    <x v="5"/>
    <x v="6"/>
    <x v="0"/>
    <x v="261"/>
    <x v="0"/>
    <n v="14535"/>
  </r>
  <r>
    <n v="1366"/>
    <x v="5"/>
    <x v="0"/>
    <x v="0"/>
    <x v="251"/>
    <x v="0"/>
    <n v="13660"/>
  </r>
  <r>
    <n v="2460"/>
    <x v="5"/>
    <x v="5"/>
    <x v="0"/>
    <x v="252"/>
    <x v="0"/>
    <n v="615000"/>
  </r>
  <r>
    <n v="1520"/>
    <x v="5"/>
    <x v="0"/>
    <x v="0"/>
    <x v="270"/>
    <x v="0"/>
    <n v="15200"/>
  </r>
  <r>
    <n v="711"/>
    <x v="5"/>
    <x v="1"/>
    <x v="0"/>
    <x v="247"/>
    <x v="0"/>
    <n v="7110"/>
  </r>
  <r>
    <n v="1375"/>
    <x v="5"/>
    <x v="3"/>
    <x v="0"/>
    <x v="271"/>
    <x v="0"/>
    <n v="4125"/>
  </r>
  <r>
    <n v="635"/>
    <x v="5"/>
    <x v="5"/>
    <x v="0"/>
    <x v="264"/>
    <x v="0"/>
    <n v="158750"/>
  </r>
  <r>
    <n v="436.5"/>
    <x v="4"/>
    <x v="0"/>
    <x v="0"/>
    <x v="272"/>
    <x v="0"/>
    <n v="4365"/>
  </r>
  <r>
    <n v="1094"/>
    <x v="0"/>
    <x v="5"/>
    <x v="0"/>
    <x v="273"/>
    <x v="0"/>
    <n v="273500"/>
  </r>
  <r>
    <n v="367"/>
    <x v="0"/>
    <x v="3"/>
    <x v="0"/>
    <x v="274"/>
    <x v="0"/>
    <n v="1101"/>
  </r>
  <r>
    <n v="3802.5"/>
    <x v="1"/>
    <x v="5"/>
    <x v="0"/>
    <x v="275"/>
    <x v="0"/>
    <n v="950625"/>
  </r>
  <r>
    <n v="1666"/>
    <x v="1"/>
    <x v="2"/>
    <x v="0"/>
    <x v="276"/>
    <x v="0"/>
    <n v="433160"/>
  </r>
  <r>
    <n v="322"/>
    <x v="1"/>
    <x v="5"/>
    <x v="0"/>
    <x v="277"/>
    <x v="0"/>
    <n v="80500"/>
  </r>
  <r>
    <n v="2321"/>
    <x v="1"/>
    <x v="3"/>
    <x v="0"/>
    <x v="278"/>
    <x v="0"/>
    <n v="6963"/>
  </r>
  <r>
    <n v="1857"/>
    <x v="1"/>
    <x v="4"/>
    <x v="0"/>
    <x v="279"/>
    <x v="0"/>
    <n v="222840"/>
  </r>
  <r>
    <n v="1611"/>
    <x v="1"/>
    <x v="6"/>
    <x v="0"/>
    <x v="280"/>
    <x v="0"/>
    <n v="8055"/>
  </r>
  <r>
    <n v="2797"/>
    <x v="1"/>
    <x v="4"/>
    <x v="0"/>
    <x v="281"/>
    <x v="0"/>
    <n v="335640"/>
  </r>
  <r>
    <n v="334"/>
    <x v="1"/>
    <x v="5"/>
    <x v="0"/>
    <x v="282"/>
    <x v="0"/>
    <n v="83500"/>
  </r>
  <r>
    <n v="2565"/>
    <x v="2"/>
    <x v="5"/>
    <x v="0"/>
    <x v="283"/>
    <x v="0"/>
    <n v="641250"/>
  </r>
  <r>
    <n v="2417"/>
    <x v="2"/>
    <x v="2"/>
    <x v="0"/>
    <x v="284"/>
    <x v="0"/>
    <n v="628420"/>
  </r>
  <r>
    <n v="3675"/>
    <x v="2"/>
    <x v="1"/>
    <x v="0"/>
    <x v="285"/>
    <x v="0"/>
    <n v="36750"/>
  </r>
  <r>
    <n v="1094"/>
    <x v="2"/>
    <x v="5"/>
    <x v="0"/>
    <x v="273"/>
    <x v="0"/>
    <n v="273500"/>
  </r>
  <r>
    <n v="1227"/>
    <x v="2"/>
    <x v="1"/>
    <x v="0"/>
    <x v="286"/>
    <x v="0"/>
    <n v="12270"/>
  </r>
  <r>
    <n v="367"/>
    <x v="2"/>
    <x v="3"/>
    <x v="0"/>
    <x v="274"/>
    <x v="0"/>
    <n v="1101"/>
  </r>
  <r>
    <n v="1324"/>
    <x v="2"/>
    <x v="5"/>
    <x v="0"/>
    <x v="287"/>
    <x v="0"/>
    <n v="331000"/>
  </r>
  <r>
    <n v="1775"/>
    <x v="2"/>
    <x v="3"/>
    <x v="0"/>
    <x v="288"/>
    <x v="0"/>
    <n v="5325"/>
  </r>
  <r>
    <n v="2797"/>
    <x v="2"/>
    <x v="4"/>
    <x v="0"/>
    <x v="281"/>
    <x v="0"/>
    <n v="335640"/>
  </r>
  <r>
    <n v="245"/>
    <x v="3"/>
    <x v="1"/>
    <x v="0"/>
    <x v="289"/>
    <x v="0"/>
    <n v="2450"/>
  </r>
  <r>
    <n v="3793.5"/>
    <x v="3"/>
    <x v="5"/>
    <x v="0"/>
    <x v="290"/>
    <x v="0"/>
    <n v="948375"/>
  </r>
  <r>
    <n v="1307"/>
    <x v="3"/>
    <x v="2"/>
    <x v="0"/>
    <x v="291"/>
    <x v="0"/>
    <n v="339820"/>
  </r>
  <r>
    <n v="567"/>
    <x v="3"/>
    <x v="4"/>
    <x v="0"/>
    <x v="292"/>
    <x v="0"/>
    <n v="68040"/>
  </r>
  <r>
    <n v="2110"/>
    <x v="3"/>
    <x v="4"/>
    <x v="0"/>
    <x v="293"/>
    <x v="0"/>
    <n v="253200"/>
  </r>
  <r>
    <n v="1269"/>
    <x v="3"/>
    <x v="2"/>
    <x v="0"/>
    <x v="294"/>
    <x v="0"/>
    <n v="329940"/>
  </r>
  <r>
    <n v="1956"/>
    <x v="4"/>
    <x v="3"/>
    <x v="0"/>
    <x v="295"/>
    <x v="0"/>
    <n v="5868"/>
  </r>
  <r>
    <n v="2659"/>
    <x v="4"/>
    <x v="5"/>
    <x v="0"/>
    <x v="296"/>
    <x v="0"/>
    <n v="664750"/>
  </r>
  <r>
    <n v="1351.5"/>
    <x v="4"/>
    <x v="2"/>
    <x v="0"/>
    <x v="297"/>
    <x v="0"/>
    <n v="351390"/>
  </r>
  <r>
    <n v="880"/>
    <x v="4"/>
    <x v="3"/>
    <x v="0"/>
    <x v="298"/>
    <x v="0"/>
    <n v="2640"/>
  </r>
  <r>
    <n v="1867"/>
    <x v="4"/>
    <x v="5"/>
    <x v="0"/>
    <x v="299"/>
    <x v="0"/>
    <n v="466750"/>
  </r>
  <r>
    <n v="2234"/>
    <x v="4"/>
    <x v="3"/>
    <x v="0"/>
    <x v="300"/>
    <x v="0"/>
    <n v="6702"/>
  </r>
  <r>
    <n v="1227"/>
    <x v="4"/>
    <x v="1"/>
    <x v="0"/>
    <x v="286"/>
    <x v="0"/>
    <n v="12270"/>
  </r>
  <r>
    <n v="877"/>
    <x v="4"/>
    <x v="4"/>
    <x v="0"/>
    <x v="301"/>
    <x v="0"/>
    <n v="105240"/>
  </r>
  <r>
    <n v="2071"/>
    <x v="5"/>
    <x v="2"/>
    <x v="0"/>
    <x v="302"/>
    <x v="0"/>
    <n v="538460"/>
  </r>
  <r>
    <n v="1269"/>
    <x v="5"/>
    <x v="2"/>
    <x v="0"/>
    <x v="294"/>
    <x v="0"/>
    <n v="329940"/>
  </r>
  <r>
    <n v="970"/>
    <x v="5"/>
    <x v="1"/>
    <x v="0"/>
    <x v="303"/>
    <x v="0"/>
    <n v="9700"/>
  </r>
  <r>
    <n v="1694"/>
    <x v="5"/>
    <x v="0"/>
    <x v="0"/>
    <x v="304"/>
    <x v="0"/>
    <n v="16940"/>
  </r>
  <r>
    <n v="663"/>
    <x v="0"/>
    <x v="0"/>
    <x v="0"/>
    <x v="305"/>
    <x v="0"/>
    <n v="6630"/>
  </r>
  <r>
    <n v="819"/>
    <x v="0"/>
    <x v="6"/>
    <x v="0"/>
    <x v="306"/>
    <x v="0"/>
    <n v="4095"/>
  </r>
  <r>
    <n v="1580"/>
    <x v="0"/>
    <x v="3"/>
    <x v="0"/>
    <x v="307"/>
    <x v="0"/>
    <n v="4740"/>
  </r>
  <r>
    <n v="521"/>
    <x v="0"/>
    <x v="6"/>
    <x v="0"/>
    <x v="308"/>
    <x v="0"/>
    <n v="2605"/>
  </r>
  <r>
    <n v="973"/>
    <x v="2"/>
    <x v="0"/>
    <x v="0"/>
    <x v="309"/>
    <x v="0"/>
    <n v="9730"/>
  </r>
  <r>
    <n v="1038"/>
    <x v="2"/>
    <x v="0"/>
    <x v="0"/>
    <x v="310"/>
    <x v="0"/>
    <n v="10380"/>
  </r>
  <r>
    <n v="360"/>
    <x v="2"/>
    <x v="6"/>
    <x v="0"/>
    <x v="311"/>
    <x v="0"/>
    <n v="1800"/>
  </r>
  <r>
    <n v="1967"/>
    <x v="3"/>
    <x v="3"/>
    <x v="0"/>
    <x v="312"/>
    <x v="0"/>
    <n v="5901"/>
  </r>
  <r>
    <n v="2628"/>
    <x v="3"/>
    <x v="1"/>
    <x v="0"/>
    <x v="313"/>
    <x v="0"/>
    <n v="26280"/>
  </r>
  <r>
    <n v="360"/>
    <x v="4"/>
    <x v="6"/>
    <x v="0"/>
    <x v="311"/>
    <x v="0"/>
    <n v="1800"/>
  </r>
  <r>
    <n v="2682"/>
    <x v="4"/>
    <x v="0"/>
    <x v="0"/>
    <x v="314"/>
    <x v="0"/>
    <n v="26820"/>
  </r>
  <r>
    <n v="521"/>
    <x v="4"/>
    <x v="6"/>
    <x v="0"/>
    <x v="308"/>
    <x v="0"/>
    <n v="2605"/>
  </r>
  <r>
    <n v="1038"/>
    <x v="5"/>
    <x v="0"/>
    <x v="0"/>
    <x v="310"/>
    <x v="0"/>
    <n v="10380"/>
  </r>
  <r>
    <n v="1630.5"/>
    <x v="5"/>
    <x v="1"/>
    <x v="0"/>
    <x v="315"/>
    <x v="0"/>
    <n v="16305"/>
  </r>
  <r>
    <n v="306"/>
    <x v="5"/>
    <x v="3"/>
    <x v="0"/>
    <x v="316"/>
    <x v="0"/>
    <n v="918"/>
  </r>
  <r>
    <n v="386"/>
    <x v="0"/>
    <x v="3"/>
    <x v="0"/>
    <x v="317"/>
    <x v="0"/>
    <n v="1158"/>
  </r>
  <r>
    <n v="2328"/>
    <x v="1"/>
    <x v="6"/>
    <x v="0"/>
    <x v="318"/>
    <x v="0"/>
    <n v="11640"/>
  </r>
  <r>
    <n v="386"/>
    <x v="2"/>
    <x v="3"/>
    <x v="0"/>
    <x v="317"/>
    <x v="0"/>
    <n v="1158"/>
  </r>
  <r>
    <n v="3445.5"/>
    <x v="0"/>
    <x v="4"/>
    <x v="0"/>
    <x v="319"/>
    <x v="0"/>
    <n v="413460"/>
  </r>
  <r>
    <n v="1482"/>
    <x v="0"/>
    <x v="4"/>
    <x v="0"/>
    <x v="320"/>
    <x v="0"/>
    <n v="177840"/>
  </r>
  <r>
    <n v="2313"/>
    <x v="1"/>
    <x v="2"/>
    <x v="0"/>
    <x v="321"/>
    <x v="0"/>
    <n v="601380"/>
  </r>
  <r>
    <n v="1804"/>
    <x v="1"/>
    <x v="4"/>
    <x v="0"/>
    <x v="322"/>
    <x v="0"/>
    <n v="216480"/>
  </r>
  <r>
    <n v="2072"/>
    <x v="1"/>
    <x v="1"/>
    <x v="0"/>
    <x v="323"/>
    <x v="0"/>
    <n v="20720"/>
  </r>
  <r>
    <n v="1954"/>
    <x v="2"/>
    <x v="0"/>
    <x v="0"/>
    <x v="324"/>
    <x v="0"/>
    <n v="19540"/>
  </r>
  <r>
    <n v="591"/>
    <x v="2"/>
    <x v="5"/>
    <x v="0"/>
    <x v="325"/>
    <x v="0"/>
    <n v="147750"/>
  </r>
  <r>
    <n v="2167"/>
    <x v="2"/>
    <x v="1"/>
    <x v="0"/>
    <x v="326"/>
    <x v="0"/>
    <n v="21670"/>
  </r>
  <r>
    <n v="241"/>
    <x v="2"/>
    <x v="0"/>
    <x v="0"/>
    <x v="327"/>
    <x v="0"/>
    <n v="2410"/>
  </r>
  <r>
    <n v="681"/>
    <x v="3"/>
    <x v="1"/>
    <x v="0"/>
    <x v="328"/>
    <x v="0"/>
    <n v="6810"/>
  </r>
  <r>
    <n v="510"/>
    <x v="3"/>
    <x v="1"/>
    <x v="0"/>
    <x v="329"/>
    <x v="0"/>
    <n v="5100"/>
  </r>
  <r>
    <n v="790"/>
    <x v="3"/>
    <x v="1"/>
    <x v="0"/>
    <x v="330"/>
    <x v="0"/>
    <n v="7900"/>
  </r>
  <r>
    <n v="639"/>
    <x v="3"/>
    <x v="2"/>
    <x v="0"/>
    <x v="331"/>
    <x v="0"/>
    <n v="166140"/>
  </r>
  <r>
    <n v="1596"/>
    <x v="3"/>
    <x v="4"/>
    <x v="0"/>
    <x v="332"/>
    <x v="0"/>
    <n v="191520"/>
  </r>
  <r>
    <n v="2294"/>
    <x v="3"/>
    <x v="5"/>
    <x v="0"/>
    <x v="333"/>
    <x v="0"/>
    <n v="573500"/>
  </r>
  <r>
    <n v="241"/>
    <x v="3"/>
    <x v="0"/>
    <x v="0"/>
    <x v="327"/>
    <x v="0"/>
    <n v="2410"/>
  </r>
  <r>
    <n v="2665"/>
    <x v="3"/>
    <x v="6"/>
    <x v="0"/>
    <x v="334"/>
    <x v="0"/>
    <n v="13325"/>
  </r>
  <r>
    <n v="1916"/>
    <x v="3"/>
    <x v="4"/>
    <x v="0"/>
    <x v="335"/>
    <x v="0"/>
    <n v="229920"/>
  </r>
  <r>
    <n v="853"/>
    <x v="3"/>
    <x v="5"/>
    <x v="0"/>
    <x v="336"/>
    <x v="0"/>
    <n v="213250"/>
  </r>
  <r>
    <n v="341"/>
    <x v="4"/>
    <x v="4"/>
    <x v="0"/>
    <x v="337"/>
    <x v="0"/>
    <n v="40920"/>
  </r>
  <r>
    <n v="641"/>
    <x v="4"/>
    <x v="1"/>
    <x v="0"/>
    <x v="338"/>
    <x v="0"/>
    <n v="6410"/>
  </r>
  <r>
    <n v="2807"/>
    <x v="4"/>
    <x v="2"/>
    <x v="0"/>
    <x v="339"/>
    <x v="0"/>
    <n v="729820"/>
  </r>
  <r>
    <n v="432"/>
    <x v="4"/>
    <x v="5"/>
    <x v="0"/>
    <x v="340"/>
    <x v="0"/>
    <n v="108000"/>
  </r>
  <r>
    <n v="2294"/>
    <x v="4"/>
    <x v="5"/>
    <x v="0"/>
    <x v="333"/>
    <x v="0"/>
    <n v="573500"/>
  </r>
  <r>
    <n v="2167"/>
    <x v="4"/>
    <x v="1"/>
    <x v="0"/>
    <x v="326"/>
    <x v="0"/>
    <n v="21670"/>
  </r>
  <r>
    <n v="2529"/>
    <x v="4"/>
    <x v="4"/>
    <x v="0"/>
    <x v="341"/>
    <x v="0"/>
    <n v="303480"/>
  </r>
  <r>
    <n v="1870"/>
    <x v="4"/>
    <x v="2"/>
    <x v="0"/>
    <x v="342"/>
    <x v="0"/>
    <n v="486200"/>
  </r>
  <r>
    <n v="579"/>
    <x v="5"/>
    <x v="4"/>
    <x v="0"/>
    <x v="343"/>
    <x v="0"/>
    <n v="69480"/>
  </r>
  <r>
    <n v="2240"/>
    <x v="5"/>
    <x v="2"/>
    <x v="0"/>
    <x v="344"/>
    <x v="0"/>
    <n v="582400"/>
  </r>
  <r>
    <n v="2993"/>
    <x v="5"/>
    <x v="5"/>
    <x v="0"/>
    <x v="345"/>
    <x v="0"/>
    <n v="748250"/>
  </r>
  <r>
    <n v="3520.5"/>
    <x v="5"/>
    <x v="3"/>
    <x v="0"/>
    <x v="346"/>
    <x v="0"/>
    <n v="10561.5"/>
  </r>
  <r>
    <n v="2039"/>
    <x v="5"/>
    <x v="0"/>
    <x v="0"/>
    <x v="347"/>
    <x v="0"/>
    <n v="20390"/>
  </r>
  <r>
    <n v="2574"/>
    <x v="5"/>
    <x v="3"/>
    <x v="0"/>
    <x v="348"/>
    <x v="0"/>
    <n v="7722"/>
  </r>
  <r>
    <n v="707"/>
    <x v="5"/>
    <x v="2"/>
    <x v="0"/>
    <x v="349"/>
    <x v="0"/>
    <n v="183820"/>
  </r>
  <r>
    <n v="2072"/>
    <x v="5"/>
    <x v="1"/>
    <x v="0"/>
    <x v="323"/>
    <x v="0"/>
    <n v="20720"/>
  </r>
  <r>
    <n v="853"/>
    <x v="5"/>
    <x v="5"/>
    <x v="0"/>
    <x v="336"/>
    <x v="0"/>
    <n v="213250"/>
  </r>
  <r>
    <n v="1198"/>
    <x v="0"/>
    <x v="3"/>
    <x v="0"/>
    <x v="350"/>
    <x v="0"/>
    <n v="3594"/>
  </r>
  <r>
    <n v="2532"/>
    <x v="2"/>
    <x v="6"/>
    <x v="0"/>
    <x v="351"/>
    <x v="0"/>
    <n v="12660"/>
  </r>
  <r>
    <n v="1198"/>
    <x v="2"/>
    <x v="3"/>
    <x v="0"/>
    <x v="350"/>
    <x v="0"/>
    <n v="3594"/>
  </r>
  <r>
    <n v="384"/>
    <x v="3"/>
    <x v="1"/>
    <x v="0"/>
    <x v="352"/>
    <x v="0"/>
    <n v="3840"/>
  </r>
  <r>
    <n v="472"/>
    <x v="3"/>
    <x v="3"/>
    <x v="0"/>
    <x v="353"/>
    <x v="0"/>
    <n v="1416"/>
  </r>
  <r>
    <n v="1579"/>
    <x v="4"/>
    <x v="6"/>
    <x v="0"/>
    <x v="354"/>
    <x v="0"/>
    <n v="7895"/>
  </r>
  <r>
    <n v="1005"/>
    <x v="4"/>
    <x v="3"/>
    <x v="0"/>
    <x v="355"/>
    <x v="0"/>
    <n v="3015"/>
  </r>
  <r>
    <n v="3199.5"/>
    <x v="5"/>
    <x v="1"/>
    <x v="0"/>
    <x v="356"/>
    <x v="0"/>
    <n v="31995"/>
  </r>
  <r>
    <n v="472"/>
    <x v="5"/>
    <x v="3"/>
    <x v="0"/>
    <x v="353"/>
    <x v="0"/>
    <n v="1416"/>
  </r>
  <r>
    <n v="1937"/>
    <x v="0"/>
    <x v="3"/>
    <x v="0"/>
    <x v="357"/>
    <x v="0"/>
    <n v="5811"/>
  </r>
  <r>
    <n v="792"/>
    <x v="0"/>
    <x v="2"/>
    <x v="0"/>
    <x v="358"/>
    <x v="0"/>
    <n v="205920"/>
  </r>
  <r>
    <n v="2811"/>
    <x v="0"/>
    <x v="5"/>
    <x v="0"/>
    <x v="359"/>
    <x v="0"/>
    <n v="702750"/>
  </r>
  <r>
    <n v="2441"/>
    <x v="0"/>
    <x v="4"/>
    <x v="0"/>
    <x v="360"/>
    <x v="0"/>
    <n v="292920"/>
  </r>
  <r>
    <n v="1560"/>
    <x v="0"/>
    <x v="1"/>
    <x v="0"/>
    <x v="361"/>
    <x v="0"/>
    <n v="15600"/>
  </r>
  <r>
    <n v="2706"/>
    <x v="0"/>
    <x v="6"/>
    <x v="0"/>
    <x v="362"/>
    <x v="0"/>
    <n v="13530"/>
  </r>
  <r>
    <n v="766"/>
    <x v="1"/>
    <x v="2"/>
    <x v="0"/>
    <x v="363"/>
    <x v="0"/>
    <n v="199160"/>
  </r>
  <r>
    <n v="2992"/>
    <x v="1"/>
    <x v="0"/>
    <x v="0"/>
    <x v="364"/>
    <x v="0"/>
    <n v="29920"/>
  </r>
  <r>
    <n v="2157"/>
    <x v="1"/>
    <x v="1"/>
    <x v="0"/>
    <x v="365"/>
    <x v="0"/>
    <n v="21570"/>
  </r>
  <r>
    <n v="873"/>
    <x v="2"/>
    <x v="5"/>
    <x v="0"/>
    <x v="366"/>
    <x v="0"/>
    <n v="218250"/>
  </r>
  <r>
    <n v="1122"/>
    <x v="2"/>
    <x v="0"/>
    <x v="0"/>
    <x v="367"/>
    <x v="0"/>
    <n v="11220"/>
  </r>
  <r>
    <n v="2104.5"/>
    <x v="2"/>
    <x v="2"/>
    <x v="0"/>
    <x v="368"/>
    <x v="0"/>
    <n v="547170"/>
  </r>
  <r>
    <n v="4026"/>
    <x v="2"/>
    <x v="3"/>
    <x v="0"/>
    <x v="369"/>
    <x v="0"/>
    <n v="12078"/>
  </r>
  <r>
    <n v="2425.5"/>
    <x v="2"/>
    <x v="3"/>
    <x v="0"/>
    <x v="370"/>
    <x v="0"/>
    <n v="7276.5"/>
  </r>
  <r>
    <n v="2394"/>
    <x v="2"/>
    <x v="0"/>
    <x v="0"/>
    <x v="371"/>
    <x v="0"/>
    <n v="23940"/>
  </r>
  <r>
    <n v="1984"/>
    <x v="2"/>
    <x v="1"/>
    <x v="0"/>
    <x v="372"/>
    <x v="0"/>
    <n v="19840"/>
  </r>
  <r>
    <n v="2441"/>
    <x v="2"/>
    <x v="4"/>
    <x v="0"/>
    <x v="360"/>
    <x v="0"/>
    <n v="292920"/>
  </r>
  <r>
    <n v="2992"/>
    <x v="2"/>
    <x v="0"/>
    <x v="0"/>
    <x v="364"/>
    <x v="0"/>
    <n v="29920"/>
  </r>
  <r>
    <n v="1366"/>
    <x v="2"/>
    <x v="5"/>
    <x v="0"/>
    <x v="373"/>
    <x v="0"/>
    <n v="341500"/>
  </r>
  <r>
    <n v="2805"/>
    <x v="3"/>
    <x v="0"/>
    <x v="0"/>
    <x v="374"/>
    <x v="0"/>
    <n v="28050"/>
  </r>
  <r>
    <n v="655"/>
    <x v="3"/>
    <x v="1"/>
    <x v="0"/>
    <x v="375"/>
    <x v="0"/>
    <n v="6550"/>
  </r>
  <r>
    <n v="344"/>
    <x v="3"/>
    <x v="2"/>
    <x v="0"/>
    <x v="376"/>
    <x v="0"/>
    <n v="89440"/>
  </r>
  <r>
    <n v="1808"/>
    <x v="3"/>
    <x v="6"/>
    <x v="0"/>
    <x v="377"/>
    <x v="0"/>
    <n v="9040"/>
  </r>
  <r>
    <n v="1734"/>
    <x v="4"/>
    <x v="3"/>
    <x v="0"/>
    <x v="378"/>
    <x v="0"/>
    <n v="5202"/>
  </r>
  <r>
    <n v="554"/>
    <x v="4"/>
    <x v="4"/>
    <x v="0"/>
    <x v="379"/>
    <x v="0"/>
    <n v="66480"/>
  </r>
  <r>
    <n v="2935"/>
    <x v="4"/>
    <x v="0"/>
    <x v="0"/>
    <x v="380"/>
    <x v="0"/>
    <n v="29350"/>
  </r>
  <r>
    <n v="3165"/>
    <x v="5"/>
    <x v="4"/>
    <x v="0"/>
    <x v="381"/>
    <x v="0"/>
    <n v="379800"/>
  </r>
  <r>
    <n v="2629"/>
    <x v="5"/>
    <x v="0"/>
    <x v="0"/>
    <x v="382"/>
    <x v="0"/>
    <n v="26290"/>
  </r>
  <r>
    <n v="1433"/>
    <x v="5"/>
    <x v="4"/>
    <x v="0"/>
    <x v="383"/>
    <x v="0"/>
    <n v="171960"/>
  </r>
  <r>
    <n v="947"/>
    <x v="5"/>
    <x v="4"/>
    <x v="0"/>
    <x v="384"/>
    <x v="0"/>
    <n v="113640"/>
  </r>
  <r>
    <n v="344"/>
    <x v="5"/>
    <x v="2"/>
    <x v="0"/>
    <x v="376"/>
    <x v="0"/>
    <n v="89440"/>
  </r>
  <r>
    <n v="2157"/>
    <x v="5"/>
    <x v="1"/>
    <x v="0"/>
    <x v="365"/>
    <x v="0"/>
    <n v="21570"/>
  </r>
  <r>
    <n v="380"/>
    <x v="2"/>
    <x v="6"/>
    <x v="0"/>
    <x v="385"/>
    <x v="0"/>
    <n v="1900"/>
  </r>
  <r>
    <n v="886"/>
    <x v="0"/>
    <x v="2"/>
    <x v="0"/>
    <x v="386"/>
    <x v="0"/>
    <n v="230360"/>
  </r>
  <r>
    <n v="2416"/>
    <x v="0"/>
    <x v="4"/>
    <x v="0"/>
    <x v="387"/>
    <x v="0"/>
    <n v="289920"/>
  </r>
  <r>
    <n v="2156"/>
    <x v="0"/>
    <x v="4"/>
    <x v="0"/>
    <x v="388"/>
    <x v="0"/>
    <n v="258720"/>
  </r>
  <r>
    <n v="2689"/>
    <x v="0"/>
    <x v="1"/>
    <x v="0"/>
    <x v="389"/>
    <x v="0"/>
    <n v="26890"/>
  </r>
  <r>
    <n v="677"/>
    <x v="1"/>
    <x v="1"/>
    <x v="0"/>
    <x v="96"/>
    <x v="0"/>
    <n v="6770"/>
  </r>
  <r>
    <n v="1773"/>
    <x v="1"/>
    <x v="5"/>
    <x v="0"/>
    <x v="390"/>
    <x v="0"/>
    <n v="443250"/>
  </r>
  <r>
    <n v="2420"/>
    <x v="1"/>
    <x v="6"/>
    <x v="0"/>
    <x v="391"/>
    <x v="0"/>
    <n v="12100"/>
  </r>
  <r>
    <n v="2734"/>
    <x v="1"/>
    <x v="6"/>
    <x v="0"/>
    <x v="392"/>
    <x v="0"/>
    <n v="13670"/>
  </r>
  <r>
    <n v="1715"/>
    <x v="1"/>
    <x v="0"/>
    <x v="0"/>
    <x v="393"/>
    <x v="0"/>
    <n v="17150"/>
  </r>
  <r>
    <n v="1186"/>
    <x v="1"/>
    <x v="5"/>
    <x v="0"/>
    <x v="394"/>
    <x v="0"/>
    <n v="296500"/>
  </r>
  <r>
    <n v="3495"/>
    <x v="2"/>
    <x v="5"/>
    <x v="0"/>
    <x v="395"/>
    <x v="0"/>
    <n v="873750"/>
  </r>
  <r>
    <n v="886"/>
    <x v="2"/>
    <x v="2"/>
    <x v="0"/>
    <x v="386"/>
    <x v="0"/>
    <n v="230360"/>
  </r>
  <r>
    <n v="2156"/>
    <x v="2"/>
    <x v="4"/>
    <x v="0"/>
    <x v="388"/>
    <x v="0"/>
    <n v="258720"/>
  </r>
  <r>
    <n v="905"/>
    <x v="2"/>
    <x v="0"/>
    <x v="0"/>
    <x v="396"/>
    <x v="0"/>
    <n v="9050"/>
  </r>
  <r>
    <n v="1715"/>
    <x v="2"/>
    <x v="0"/>
    <x v="0"/>
    <x v="393"/>
    <x v="0"/>
    <n v="17150"/>
  </r>
  <r>
    <n v="1594"/>
    <x v="2"/>
    <x v="2"/>
    <x v="0"/>
    <x v="397"/>
    <x v="0"/>
    <n v="414440"/>
  </r>
  <r>
    <n v="1359"/>
    <x v="2"/>
    <x v="5"/>
    <x v="0"/>
    <x v="398"/>
    <x v="0"/>
    <n v="339750"/>
  </r>
  <r>
    <n v="2150"/>
    <x v="2"/>
    <x v="5"/>
    <x v="0"/>
    <x v="399"/>
    <x v="0"/>
    <n v="537500"/>
  </r>
  <r>
    <n v="1197"/>
    <x v="2"/>
    <x v="2"/>
    <x v="0"/>
    <x v="400"/>
    <x v="0"/>
    <n v="311220"/>
  </r>
  <r>
    <n v="380"/>
    <x v="2"/>
    <x v="1"/>
    <x v="0"/>
    <x v="401"/>
    <x v="0"/>
    <n v="3800"/>
  </r>
  <r>
    <n v="1233"/>
    <x v="2"/>
    <x v="0"/>
    <x v="0"/>
    <x v="402"/>
    <x v="0"/>
    <n v="12330"/>
  </r>
  <r>
    <n v="1395"/>
    <x v="3"/>
    <x v="2"/>
    <x v="0"/>
    <x v="403"/>
    <x v="0"/>
    <n v="362700"/>
  </r>
  <r>
    <n v="986"/>
    <x v="3"/>
    <x v="2"/>
    <x v="0"/>
    <x v="404"/>
    <x v="0"/>
    <n v="256360"/>
  </r>
  <r>
    <n v="905"/>
    <x v="3"/>
    <x v="0"/>
    <x v="0"/>
    <x v="396"/>
    <x v="0"/>
    <n v="9050"/>
  </r>
  <r>
    <n v="2109"/>
    <x v="4"/>
    <x v="3"/>
    <x v="0"/>
    <x v="405"/>
    <x v="0"/>
    <n v="6327"/>
  </r>
  <r>
    <n v="3874.5"/>
    <x v="4"/>
    <x v="1"/>
    <x v="0"/>
    <x v="406"/>
    <x v="0"/>
    <n v="38745"/>
  </r>
  <r>
    <n v="623"/>
    <x v="4"/>
    <x v="2"/>
    <x v="0"/>
    <x v="407"/>
    <x v="0"/>
    <n v="161980"/>
  </r>
  <r>
    <n v="986"/>
    <x v="4"/>
    <x v="2"/>
    <x v="0"/>
    <x v="404"/>
    <x v="0"/>
    <n v="256360"/>
  </r>
  <r>
    <n v="2387"/>
    <x v="4"/>
    <x v="4"/>
    <x v="0"/>
    <x v="408"/>
    <x v="0"/>
    <n v="286440"/>
  </r>
  <r>
    <n v="1233"/>
    <x v="4"/>
    <x v="0"/>
    <x v="0"/>
    <x v="402"/>
    <x v="0"/>
    <n v="12330"/>
  </r>
  <r>
    <n v="270"/>
    <x v="5"/>
    <x v="2"/>
    <x v="0"/>
    <x v="409"/>
    <x v="0"/>
    <n v="70200"/>
  </r>
  <r>
    <n v="3421.5"/>
    <x v="5"/>
    <x v="6"/>
    <x v="0"/>
    <x v="410"/>
    <x v="0"/>
    <n v="17107.5"/>
  </r>
  <r>
    <n v="2734"/>
    <x v="5"/>
    <x v="6"/>
    <x v="0"/>
    <x v="392"/>
    <x v="0"/>
    <n v="13670"/>
  </r>
  <r>
    <n v="2548"/>
    <x v="5"/>
    <x v="1"/>
    <x v="0"/>
    <x v="411"/>
    <x v="0"/>
    <n v="25480"/>
  </r>
  <r>
    <n v="2521.5"/>
    <x v="0"/>
    <x v="0"/>
    <x v="0"/>
    <x v="412"/>
    <x v="0"/>
    <n v="25215"/>
  </r>
  <r>
    <n v="2661"/>
    <x v="1"/>
    <x v="3"/>
    <x v="0"/>
    <x v="413"/>
    <x v="0"/>
    <n v="7983"/>
  </r>
  <r>
    <n v="1531"/>
    <x v="2"/>
    <x v="0"/>
    <x v="0"/>
    <x v="414"/>
    <x v="0"/>
    <n v="15310"/>
  </r>
  <r>
    <n v="1491"/>
    <x v="4"/>
    <x v="6"/>
    <x v="0"/>
    <x v="415"/>
    <x v="0"/>
    <n v="7455"/>
  </r>
  <r>
    <n v="1531"/>
    <x v="4"/>
    <x v="0"/>
    <x v="0"/>
    <x v="414"/>
    <x v="0"/>
    <n v="15310"/>
  </r>
  <r>
    <n v="2761"/>
    <x v="5"/>
    <x v="3"/>
    <x v="0"/>
    <x v="416"/>
    <x v="0"/>
    <n v="8283"/>
  </r>
  <r>
    <n v="2567"/>
    <x v="0"/>
    <x v="1"/>
    <x v="0"/>
    <x v="417"/>
    <x v="0"/>
    <n v="25670"/>
  </r>
  <r>
    <n v="2567"/>
    <x v="4"/>
    <x v="1"/>
    <x v="0"/>
    <x v="417"/>
    <x v="0"/>
    <n v="25670"/>
  </r>
  <r>
    <n v="923"/>
    <x v="0"/>
    <x v="2"/>
    <x v="0"/>
    <x v="418"/>
    <x v="0"/>
    <n v="239980"/>
  </r>
  <r>
    <n v="1790"/>
    <x v="0"/>
    <x v="2"/>
    <x v="0"/>
    <x v="419"/>
    <x v="0"/>
    <n v="465400"/>
  </r>
  <r>
    <n v="442"/>
    <x v="0"/>
    <x v="0"/>
    <x v="0"/>
    <x v="420"/>
    <x v="0"/>
    <n v="4420"/>
  </r>
  <r>
    <n v="982.5"/>
    <x v="1"/>
    <x v="2"/>
    <x v="0"/>
    <x v="421"/>
    <x v="0"/>
    <n v="255450"/>
  </r>
  <r>
    <n v="1298"/>
    <x v="1"/>
    <x v="6"/>
    <x v="0"/>
    <x v="422"/>
    <x v="0"/>
    <n v="6490"/>
  </r>
  <r>
    <n v="604"/>
    <x v="1"/>
    <x v="3"/>
    <x v="0"/>
    <x v="423"/>
    <x v="0"/>
    <n v="1812"/>
  </r>
  <r>
    <n v="2255"/>
    <x v="1"/>
    <x v="0"/>
    <x v="0"/>
    <x v="424"/>
    <x v="0"/>
    <n v="22550"/>
  </r>
  <r>
    <n v="1249"/>
    <x v="1"/>
    <x v="0"/>
    <x v="0"/>
    <x v="425"/>
    <x v="0"/>
    <n v="12490"/>
  </r>
  <r>
    <n v="1438.5"/>
    <x v="2"/>
    <x v="6"/>
    <x v="0"/>
    <x v="426"/>
    <x v="0"/>
    <n v="7192.5"/>
  </r>
  <r>
    <n v="807"/>
    <x v="2"/>
    <x v="5"/>
    <x v="0"/>
    <x v="427"/>
    <x v="0"/>
    <n v="201750"/>
  </r>
  <r>
    <n v="2641"/>
    <x v="2"/>
    <x v="0"/>
    <x v="0"/>
    <x v="428"/>
    <x v="0"/>
    <n v="26410"/>
  </r>
  <r>
    <n v="2708"/>
    <x v="2"/>
    <x v="0"/>
    <x v="0"/>
    <x v="429"/>
    <x v="0"/>
    <n v="27080"/>
  </r>
  <r>
    <n v="2632"/>
    <x v="2"/>
    <x v="2"/>
    <x v="0"/>
    <x v="430"/>
    <x v="0"/>
    <n v="684320"/>
  </r>
  <r>
    <n v="1583"/>
    <x v="2"/>
    <x v="4"/>
    <x v="0"/>
    <x v="431"/>
    <x v="0"/>
    <n v="189960"/>
  </r>
  <r>
    <n v="571"/>
    <x v="2"/>
    <x v="3"/>
    <x v="0"/>
    <x v="432"/>
    <x v="0"/>
    <n v="1713"/>
  </r>
  <r>
    <n v="2696"/>
    <x v="2"/>
    <x v="6"/>
    <x v="0"/>
    <x v="433"/>
    <x v="0"/>
    <n v="13480"/>
  </r>
  <r>
    <n v="1565"/>
    <x v="2"/>
    <x v="1"/>
    <x v="0"/>
    <x v="434"/>
    <x v="0"/>
    <n v="15650"/>
  </r>
  <r>
    <n v="1249"/>
    <x v="2"/>
    <x v="0"/>
    <x v="0"/>
    <x v="425"/>
    <x v="0"/>
    <n v="12490"/>
  </r>
  <r>
    <n v="357"/>
    <x v="2"/>
    <x v="2"/>
    <x v="0"/>
    <x v="435"/>
    <x v="0"/>
    <n v="92820"/>
  </r>
  <r>
    <n v="1013"/>
    <x v="2"/>
    <x v="3"/>
    <x v="0"/>
    <x v="436"/>
    <x v="0"/>
    <n v="3039"/>
  </r>
  <r>
    <n v="3997.5"/>
    <x v="3"/>
    <x v="1"/>
    <x v="0"/>
    <x v="437"/>
    <x v="0"/>
    <n v="39975"/>
  </r>
  <r>
    <n v="2632"/>
    <x v="3"/>
    <x v="2"/>
    <x v="0"/>
    <x v="430"/>
    <x v="0"/>
    <n v="684320"/>
  </r>
  <r>
    <n v="1190"/>
    <x v="3"/>
    <x v="6"/>
    <x v="0"/>
    <x v="438"/>
    <x v="0"/>
    <n v="5950"/>
  </r>
  <r>
    <n v="604"/>
    <x v="3"/>
    <x v="3"/>
    <x v="0"/>
    <x v="423"/>
    <x v="0"/>
    <n v="1812"/>
  </r>
  <r>
    <n v="660"/>
    <x v="3"/>
    <x v="1"/>
    <x v="0"/>
    <x v="439"/>
    <x v="0"/>
    <n v="6600"/>
  </r>
  <r>
    <n v="410"/>
    <x v="3"/>
    <x v="3"/>
    <x v="0"/>
    <x v="440"/>
    <x v="0"/>
    <n v="1230"/>
  </r>
  <r>
    <n v="2605"/>
    <x v="3"/>
    <x v="5"/>
    <x v="0"/>
    <x v="441"/>
    <x v="0"/>
    <n v="651250"/>
  </r>
  <r>
    <n v="1013"/>
    <x v="3"/>
    <x v="3"/>
    <x v="0"/>
    <x v="436"/>
    <x v="0"/>
    <n v="3039"/>
  </r>
  <r>
    <n v="1583"/>
    <x v="4"/>
    <x v="4"/>
    <x v="0"/>
    <x v="431"/>
    <x v="0"/>
    <n v="189960"/>
  </r>
  <r>
    <n v="1565"/>
    <x v="4"/>
    <x v="1"/>
    <x v="0"/>
    <x v="434"/>
    <x v="0"/>
    <n v="15650"/>
  </r>
  <r>
    <n v="1659"/>
    <x v="5"/>
    <x v="4"/>
    <x v="0"/>
    <x v="442"/>
    <x v="0"/>
    <n v="199080"/>
  </r>
  <r>
    <n v="1190"/>
    <x v="5"/>
    <x v="6"/>
    <x v="0"/>
    <x v="438"/>
    <x v="0"/>
    <n v="5950"/>
  </r>
  <r>
    <n v="410"/>
    <x v="5"/>
    <x v="3"/>
    <x v="0"/>
    <x v="440"/>
    <x v="0"/>
    <n v="1230"/>
  </r>
  <r>
    <n v="1770"/>
    <x v="5"/>
    <x v="3"/>
    <x v="0"/>
    <x v="443"/>
    <x v="0"/>
    <n v="5310"/>
  </r>
  <r>
    <n v="2579"/>
    <x v="0"/>
    <x v="0"/>
    <x v="0"/>
    <x v="444"/>
    <x v="0"/>
    <n v="25790"/>
  </r>
  <r>
    <n v="1743"/>
    <x v="0"/>
    <x v="0"/>
    <x v="0"/>
    <x v="445"/>
    <x v="0"/>
    <n v="17430"/>
  </r>
  <r>
    <n v="2996"/>
    <x v="0"/>
    <x v="6"/>
    <x v="0"/>
    <x v="446"/>
    <x v="0"/>
    <n v="14980"/>
  </r>
  <r>
    <n v="280"/>
    <x v="0"/>
    <x v="6"/>
    <x v="0"/>
    <x v="447"/>
    <x v="0"/>
    <n v="1400"/>
  </r>
  <r>
    <n v="293"/>
    <x v="1"/>
    <x v="6"/>
    <x v="0"/>
    <x v="448"/>
    <x v="0"/>
    <n v="1465"/>
  </r>
  <r>
    <n v="2996"/>
    <x v="1"/>
    <x v="6"/>
    <x v="0"/>
    <x v="446"/>
    <x v="0"/>
    <n v="14980"/>
  </r>
  <r>
    <n v="278"/>
    <x v="2"/>
    <x v="1"/>
    <x v="0"/>
    <x v="449"/>
    <x v="0"/>
    <n v="2780"/>
  </r>
  <r>
    <n v="2428"/>
    <x v="2"/>
    <x v="0"/>
    <x v="0"/>
    <x v="450"/>
    <x v="0"/>
    <n v="24280"/>
  </r>
  <r>
    <n v="1767"/>
    <x v="2"/>
    <x v="1"/>
    <x v="0"/>
    <x v="451"/>
    <x v="0"/>
    <n v="17670"/>
  </r>
  <r>
    <n v="1393"/>
    <x v="2"/>
    <x v="3"/>
    <x v="0"/>
    <x v="452"/>
    <x v="0"/>
    <n v="4179"/>
  </r>
  <r>
    <n v="280"/>
    <x v="4"/>
    <x v="6"/>
    <x v="0"/>
    <x v="447"/>
    <x v="0"/>
    <n v="1400"/>
  </r>
  <r>
    <n v="1393"/>
    <x v="5"/>
    <x v="3"/>
    <x v="0"/>
    <x v="452"/>
    <x v="0"/>
    <n v="4179"/>
  </r>
  <r>
    <n v="2015"/>
    <x v="5"/>
    <x v="3"/>
    <x v="0"/>
    <x v="453"/>
    <x v="0"/>
    <n v="6045"/>
  </r>
  <r>
    <n v="801"/>
    <x v="0"/>
    <x v="5"/>
    <x v="0"/>
    <x v="454"/>
    <x v="0"/>
    <n v="200250"/>
  </r>
  <r>
    <n v="1023"/>
    <x v="0"/>
    <x v="4"/>
    <x v="0"/>
    <x v="455"/>
    <x v="0"/>
    <n v="122760"/>
  </r>
  <r>
    <n v="1496"/>
    <x v="0"/>
    <x v="5"/>
    <x v="0"/>
    <x v="456"/>
    <x v="0"/>
    <n v="374000"/>
  </r>
  <r>
    <n v="1010"/>
    <x v="0"/>
    <x v="5"/>
    <x v="0"/>
    <x v="457"/>
    <x v="0"/>
    <n v="252500"/>
  </r>
  <r>
    <n v="1513"/>
    <x v="0"/>
    <x v="1"/>
    <x v="0"/>
    <x v="458"/>
    <x v="0"/>
    <n v="15130"/>
  </r>
  <r>
    <n v="2300"/>
    <x v="0"/>
    <x v="1"/>
    <x v="0"/>
    <x v="459"/>
    <x v="0"/>
    <n v="23000"/>
  </r>
  <r>
    <n v="2821"/>
    <x v="0"/>
    <x v="4"/>
    <x v="0"/>
    <x v="460"/>
    <x v="0"/>
    <n v="338520"/>
  </r>
  <r>
    <n v="2227.5"/>
    <x v="1"/>
    <x v="2"/>
    <x v="0"/>
    <x v="461"/>
    <x v="0"/>
    <n v="579150"/>
  </r>
  <r>
    <n v="1199"/>
    <x v="1"/>
    <x v="2"/>
    <x v="0"/>
    <x v="462"/>
    <x v="0"/>
    <n v="311740"/>
  </r>
  <r>
    <n v="200"/>
    <x v="1"/>
    <x v="2"/>
    <x v="0"/>
    <x v="463"/>
    <x v="0"/>
    <n v="52000"/>
  </r>
  <r>
    <n v="388"/>
    <x v="1"/>
    <x v="6"/>
    <x v="0"/>
    <x v="464"/>
    <x v="0"/>
    <n v="1940"/>
  </r>
  <r>
    <n v="1727"/>
    <x v="1"/>
    <x v="6"/>
    <x v="0"/>
    <x v="465"/>
    <x v="0"/>
    <n v="8635"/>
  </r>
  <r>
    <n v="2300"/>
    <x v="1"/>
    <x v="1"/>
    <x v="0"/>
    <x v="459"/>
    <x v="0"/>
    <n v="23000"/>
  </r>
  <r>
    <n v="260"/>
    <x v="2"/>
    <x v="0"/>
    <x v="0"/>
    <x v="466"/>
    <x v="0"/>
    <n v="2600"/>
  </r>
  <r>
    <n v="2470"/>
    <x v="2"/>
    <x v="1"/>
    <x v="0"/>
    <x v="467"/>
    <x v="0"/>
    <n v="24700"/>
  </r>
  <r>
    <n v="1743"/>
    <x v="2"/>
    <x v="1"/>
    <x v="0"/>
    <x v="468"/>
    <x v="0"/>
    <n v="17430"/>
  </r>
  <r>
    <n v="2914"/>
    <x v="2"/>
    <x v="3"/>
    <x v="0"/>
    <x v="469"/>
    <x v="0"/>
    <n v="8742"/>
  </r>
  <r>
    <n v="1731"/>
    <x v="2"/>
    <x v="6"/>
    <x v="0"/>
    <x v="470"/>
    <x v="0"/>
    <n v="8655"/>
  </r>
  <r>
    <n v="700"/>
    <x v="2"/>
    <x v="2"/>
    <x v="0"/>
    <x v="471"/>
    <x v="0"/>
    <n v="182000"/>
  </r>
  <r>
    <n v="2222"/>
    <x v="2"/>
    <x v="3"/>
    <x v="0"/>
    <x v="472"/>
    <x v="0"/>
    <n v="6666"/>
  </r>
  <r>
    <n v="1177"/>
    <x v="2"/>
    <x v="2"/>
    <x v="0"/>
    <x v="473"/>
    <x v="0"/>
    <n v="306020"/>
  </r>
  <r>
    <n v="1922"/>
    <x v="2"/>
    <x v="2"/>
    <x v="0"/>
    <x v="474"/>
    <x v="0"/>
    <n v="499720"/>
  </r>
  <r>
    <n v="1575"/>
    <x v="3"/>
    <x v="4"/>
    <x v="0"/>
    <x v="475"/>
    <x v="0"/>
    <n v="189000"/>
  </r>
  <r>
    <n v="606"/>
    <x v="3"/>
    <x v="0"/>
    <x v="0"/>
    <x v="476"/>
    <x v="0"/>
    <n v="6060"/>
  </r>
  <r>
    <n v="2460"/>
    <x v="3"/>
    <x v="5"/>
    <x v="0"/>
    <x v="477"/>
    <x v="0"/>
    <n v="615000"/>
  </r>
  <r>
    <n v="269"/>
    <x v="3"/>
    <x v="5"/>
    <x v="0"/>
    <x v="478"/>
    <x v="0"/>
    <n v="67250"/>
  </r>
  <r>
    <n v="2536"/>
    <x v="3"/>
    <x v="5"/>
    <x v="0"/>
    <x v="479"/>
    <x v="0"/>
    <n v="634000"/>
  </r>
  <r>
    <n v="2903"/>
    <x v="4"/>
    <x v="6"/>
    <x v="0"/>
    <x v="480"/>
    <x v="0"/>
    <n v="14515"/>
  </r>
  <r>
    <n v="2541"/>
    <x v="4"/>
    <x v="5"/>
    <x v="0"/>
    <x v="481"/>
    <x v="0"/>
    <n v="635250"/>
  </r>
  <r>
    <n v="269"/>
    <x v="4"/>
    <x v="5"/>
    <x v="0"/>
    <x v="478"/>
    <x v="0"/>
    <n v="67250"/>
  </r>
  <r>
    <n v="1496"/>
    <x v="4"/>
    <x v="5"/>
    <x v="0"/>
    <x v="456"/>
    <x v="0"/>
    <n v="374000"/>
  </r>
  <r>
    <n v="1010"/>
    <x v="4"/>
    <x v="5"/>
    <x v="0"/>
    <x v="457"/>
    <x v="0"/>
    <n v="252500"/>
  </r>
  <r>
    <n v="1281"/>
    <x v="4"/>
    <x v="2"/>
    <x v="0"/>
    <x v="482"/>
    <x v="0"/>
    <n v="333060"/>
  </r>
  <r>
    <n v="888"/>
    <x v="5"/>
    <x v="5"/>
    <x v="0"/>
    <x v="483"/>
    <x v="0"/>
    <n v="222000"/>
  </r>
  <r>
    <n v="2844"/>
    <x v="5"/>
    <x v="4"/>
    <x v="0"/>
    <x v="484"/>
    <x v="0"/>
    <n v="341280"/>
  </r>
  <r>
    <n v="2475"/>
    <x v="5"/>
    <x v="3"/>
    <x v="0"/>
    <x v="485"/>
    <x v="0"/>
    <n v="7425"/>
  </r>
  <r>
    <n v="1743"/>
    <x v="5"/>
    <x v="1"/>
    <x v="0"/>
    <x v="468"/>
    <x v="0"/>
    <n v="17430"/>
  </r>
  <r>
    <n v="2914"/>
    <x v="5"/>
    <x v="3"/>
    <x v="0"/>
    <x v="469"/>
    <x v="0"/>
    <n v="8742"/>
  </r>
  <r>
    <n v="1731"/>
    <x v="5"/>
    <x v="6"/>
    <x v="0"/>
    <x v="470"/>
    <x v="0"/>
    <n v="8655"/>
  </r>
  <r>
    <n v="1727"/>
    <x v="5"/>
    <x v="6"/>
    <x v="0"/>
    <x v="465"/>
    <x v="0"/>
    <n v="8635"/>
  </r>
  <r>
    <n v="1870"/>
    <x v="5"/>
    <x v="1"/>
    <x v="0"/>
    <x v="486"/>
    <x v="0"/>
    <n v="18700"/>
  </r>
  <r>
    <n v="1174"/>
    <x v="0"/>
    <x v="4"/>
    <x v="0"/>
    <x v="487"/>
    <x v="0"/>
    <n v="140880"/>
  </r>
  <r>
    <n v="2767"/>
    <x v="0"/>
    <x v="4"/>
    <x v="0"/>
    <x v="488"/>
    <x v="0"/>
    <n v="332040"/>
  </r>
  <r>
    <n v="1085"/>
    <x v="0"/>
    <x v="4"/>
    <x v="0"/>
    <x v="489"/>
    <x v="0"/>
    <n v="130200"/>
  </r>
  <r>
    <n v="546"/>
    <x v="1"/>
    <x v="5"/>
    <x v="0"/>
    <x v="490"/>
    <x v="0"/>
    <n v="136500"/>
  </r>
  <r>
    <n v="1158"/>
    <x v="2"/>
    <x v="0"/>
    <x v="0"/>
    <x v="491"/>
    <x v="0"/>
    <n v="11580"/>
  </r>
  <r>
    <n v="1614"/>
    <x v="2"/>
    <x v="1"/>
    <x v="0"/>
    <x v="492"/>
    <x v="0"/>
    <n v="16140"/>
  </r>
  <r>
    <n v="2535"/>
    <x v="2"/>
    <x v="6"/>
    <x v="0"/>
    <x v="493"/>
    <x v="0"/>
    <n v="12675"/>
  </r>
  <r>
    <n v="2851"/>
    <x v="2"/>
    <x v="2"/>
    <x v="0"/>
    <x v="494"/>
    <x v="0"/>
    <n v="741260"/>
  </r>
  <r>
    <n v="2559"/>
    <x v="2"/>
    <x v="1"/>
    <x v="0"/>
    <x v="495"/>
    <x v="0"/>
    <n v="25590"/>
  </r>
  <r>
    <n v="267"/>
    <x v="2"/>
    <x v="0"/>
    <x v="0"/>
    <x v="496"/>
    <x v="0"/>
    <n v="2670"/>
  </r>
  <r>
    <n v="1085"/>
    <x v="2"/>
    <x v="4"/>
    <x v="0"/>
    <x v="489"/>
    <x v="0"/>
    <n v="130200"/>
  </r>
  <r>
    <n v="1175"/>
    <x v="2"/>
    <x v="1"/>
    <x v="0"/>
    <x v="497"/>
    <x v="0"/>
    <n v="11750"/>
  </r>
  <r>
    <n v="2007"/>
    <x v="2"/>
    <x v="2"/>
    <x v="0"/>
    <x v="498"/>
    <x v="0"/>
    <n v="521820"/>
  </r>
  <r>
    <n v="2151"/>
    <x v="2"/>
    <x v="2"/>
    <x v="0"/>
    <x v="499"/>
    <x v="0"/>
    <n v="559260"/>
  </r>
  <r>
    <n v="914"/>
    <x v="2"/>
    <x v="3"/>
    <x v="0"/>
    <x v="500"/>
    <x v="0"/>
    <n v="2742"/>
  </r>
  <r>
    <n v="293"/>
    <x v="2"/>
    <x v="0"/>
    <x v="0"/>
    <x v="501"/>
    <x v="0"/>
    <n v="2930"/>
  </r>
  <r>
    <n v="500"/>
    <x v="3"/>
    <x v="3"/>
    <x v="0"/>
    <x v="502"/>
    <x v="0"/>
    <n v="1500"/>
  </r>
  <r>
    <n v="2826"/>
    <x v="3"/>
    <x v="1"/>
    <x v="0"/>
    <x v="503"/>
    <x v="0"/>
    <n v="28260"/>
  </r>
  <r>
    <n v="663"/>
    <x v="3"/>
    <x v="4"/>
    <x v="0"/>
    <x v="504"/>
    <x v="0"/>
    <n v="79560"/>
  </r>
  <r>
    <n v="2574"/>
    <x v="3"/>
    <x v="5"/>
    <x v="0"/>
    <x v="505"/>
    <x v="0"/>
    <n v="643500"/>
  </r>
  <r>
    <n v="2438"/>
    <x v="3"/>
    <x v="4"/>
    <x v="0"/>
    <x v="506"/>
    <x v="0"/>
    <n v="292560"/>
  </r>
  <r>
    <n v="914"/>
    <x v="3"/>
    <x v="3"/>
    <x v="0"/>
    <x v="500"/>
    <x v="0"/>
    <n v="2742"/>
  </r>
  <r>
    <n v="865.5"/>
    <x v="4"/>
    <x v="0"/>
    <x v="0"/>
    <x v="507"/>
    <x v="0"/>
    <n v="8655"/>
  </r>
  <r>
    <n v="492"/>
    <x v="4"/>
    <x v="1"/>
    <x v="0"/>
    <x v="508"/>
    <x v="0"/>
    <n v="4920"/>
  </r>
  <r>
    <n v="267"/>
    <x v="4"/>
    <x v="0"/>
    <x v="0"/>
    <x v="496"/>
    <x v="0"/>
    <n v="2670"/>
  </r>
  <r>
    <n v="1175"/>
    <x v="4"/>
    <x v="1"/>
    <x v="0"/>
    <x v="497"/>
    <x v="0"/>
    <n v="11750"/>
  </r>
  <r>
    <n v="2954"/>
    <x v="4"/>
    <x v="4"/>
    <x v="0"/>
    <x v="509"/>
    <x v="0"/>
    <n v="354480"/>
  </r>
  <r>
    <n v="552"/>
    <x v="4"/>
    <x v="4"/>
    <x v="0"/>
    <x v="510"/>
    <x v="0"/>
    <n v="66240"/>
  </r>
  <r>
    <n v="293"/>
    <x v="4"/>
    <x v="0"/>
    <x v="0"/>
    <x v="501"/>
    <x v="0"/>
    <n v="2930"/>
  </r>
  <r>
    <n v="2475"/>
    <x v="5"/>
    <x v="5"/>
    <x v="0"/>
    <x v="511"/>
    <x v="0"/>
    <n v="618750"/>
  </r>
  <r>
    <n v="546"/>
    <x v="5"/>
    <x v="5"/>
    <x v="0"/>
    <x v="490"/>
    <x v="0"/>
    <n v="136500"/>
  </r>
  <r>
    <n v="1368"/>
    <x v="1"/>
    <x v="6"/>
    <x v="0"/>
    <x v="512"/>
    <x v="0"/>
    <n v="6840"/>
  </r>
  <r>
    <n v="723"/>
    <x v="2"/>
    <x v="6"/>
    <x v="0"/>
    <x v="513"/>
    <x v="0"/>
    <n v="3615"/>
  </r>
  <r>
    <n v="1806"/>
    <x v="4"/>
    <x v="3"/>
    <x v="0"/>
    <x v="514"/>
    <x v="0"/>
    <n v="54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s v="None"/>
    <n v="1618.5"/>
    <n v="3"/>
    <n v="20"/>
  </r>
  <r>
    <x v="1"/>
    <x v="0"/>
    <s v="None"/>
    <n v="1321"/>
    <n v="3"/>
    <n v="20"/>
  </r>
  <r>
    <x v="2"/>
    <x v="0"/>
    <s v="None"/>
    <n v="2178"/>
    <n v="3"/>
    <n v="15"/>
  </r>
  <r>
    <x v="1"/>
    <x v="0"/>
    <s v="None"/>
    <n v="888"/>
    <n v="3"/>
    <n v="15"/>
  </r>
  <r>
    <x v="3"/>
    <x v="0"/>
    <s v="None"/>
    <n v="2470"/>
    <n v="3"/>
    <n v="15"/>
  </r>
  <r>
    <x v="1"/>
    <x v="0"/>
    <s v="None"/>
    <n v="1513"/>
    <n v="3"/>
    <n v="350"/>
  </r>
  <r>
    <x v="1"/>
    <x v="1"/>
    <s v="None"/>
    <n v="921"/>
    <n v="5"/>
    <n v="15"/>
  </r>
  <r>
    <x v="0"/>
    <x v="1"/>
    <s v="None"/>
    <n v="2518"/>
    <n v="5"/>
    <n v="12"/>
  </r>
  <r>
    <x v="2"/>
    <x v="1"/>
    <s v="None"/>
    <n v="1899"/>
    <n v="5"/>
    <n v="20"/>
  </r>
  <r>
    <x v="1"/>
    <x v="1"/>
    <s v="None"/>
    <n v="1545"/>
    <n v="5"/>
    <n v="12"/>
  </r>
  <r>
    <x v="3"/>
    <x v="1"/>
    <s v="None"/>
    <n v="2470"/>
    <n v="5"/>
    <n v="15"/>
  </r>
  <r>
    <x v="0"/>
    <x v="1"/>
    <s v="None"/>
    <n v="2665.5"/>
    <n v="5"/>
    <n v="125"/>
  </r>
  <r>
    <x v="3"/>
    <x v="1"/>
    <s v="None"/>
    <n v="958"/>
    <n v="5"/>
    <n v="300"/>
  </r>
  <r>
    <x v="1"/>
    <x v="1"/>
    <s v="None"/>
    <n v="2146"/>
    <n v="5"/>
    <n v="7"/>
  </r>
  <r>
    <x v="0"/>
    <x v="1"/>
    <s v="None"/>
    <n v="345"/>
    <n v="5"/>
    <n v="125"/>
  </r>
  <r>
    <x v="4"/>
    <x v="1"/>
    <s v="None"/>
    <n v="615"/>
    <n v="5"/>
    <n v="15"/>
  </r>
  <r>
    <x v="0"/>
    <x v="2"/>
    <s v="None"/>
    <n v="292"/>
    <n v="10"/>
    <n v="20"/>
  </r>
  <r>
    <x v="3"/>
    <x v="2"/>
    <s v="None"/>
    <n v="974"/>
    <n v="10"/>
    <n v="15"/>
  </r>
  <r>
    <x v="0"/>
    <x v="2"/>
    <s v="None"/>
    <n v="2518"/>
    <n v="10"/>
    <n v="12"/>
  </r>
  <r>
    <x v="1"/>
    <x v="2"/>
    <s v="None"/>
    <n v="1006"/>
    <n v="10"/>
    <n v="350"/>
  </r>
  <r>
    <x v="1"/>
    <x v="2"/>
    <s v="None"/>
    <n v="367"/>
    <n v="10"/>
    <n v="12"/>
  </r>
  <r>
    <x v="3"/>
    <x v="2"/>
    <s v="None"/>
    <n v="883"/>
    <n v="10"/>
    <n v="7"/>
  </r>
  <r>
    <x v="2"/>
    <x v="2"/>
    <s v="None"/>
    <n v="549"/>
    <n v="10"/>
    <n v="15"/>
  </r>
  <r>
    <x v="3"/>
    <x v="2"/>
    <s v="None"/>
    <n v="788"/>
    <n v="10"/>
    <n v="300"/>
  </r>
  <r>
    <x v="3"/>
    <x v="2"/>
    <s v="None"/>
    <n v="2472"/>
    <n v="10"/>
    <n v="15"/>
  </r>
  <r>
    <x v="4"/>
    <x v="2"/>
    <s v="None"/>
    <n v="1143"/>
    <n v="10"/>
    <n v="7"/>
  </r>
  <r>
    <x v="0"/>
    <x v="2"/>
    <s v="None"/>
    <n v="1725"/>
    <n v="10"/>
    <n v="350"/>
  </r>
  <r>
    <x v="4"/>
    <x v="2"/>
    <s v="None"/>
    <n v="912"/>
    <n v="10"/>
    <n v="12"/>
  </r>
  <r>
    <x v="0"/>
    <x v="2"/>
    <s v="None"/>
    <n v="2152"/>
    <n v="10"/>
    <n v="15"/>
  </r>
  <r>
    <x v="0"/>
    <x v="2"/>
    <s v="None"/>
    <n v="1817"/>
    <n v="10"/>
    <n v="20"/>
  </r>
  <r>
    <x v="1"/>
    <x v="2"/>
    <s v="None"/>
    <n v="1513"/>
    <n v="10"/>
    <n v="350"/>
  </r>
  <r>
    <x v="3"/>
    <x v="3"/>
    <s v="None"/>
    <n v="1493"/>
    <n v="120"/>
    <n v="7"/>
  </r>
  <r>
    <x v="2"/>
    <x v="3"/>
    <s v="None"/>
    <n v="1804"/>
    <n v="120"/>
    <n v="125"/>
  </r>
  <r>
    <x v="1"/>
    <x v="3"/>
    <s v="None"/>
    <n v="2161"/>
    <n v="120"/>
    <n v="12"/>
  </r>
  <r>
    <x v="1"/>
    <x v="3"/>
    <s v="None"/>
    <n v="1006"/>
    <n v="120"/>
    <n v="350"/>
  </r>
  <r>
    <x v="1"/>
    <x v="3"/>
    <s v="None"/>
    <n v="1545"/>
    <n v="120"/>
    <n v="12"/>
  </r>
  <r>
    <x v="4"/>
    <x v="3"/>
    <s v="None"/>
    <n v="2821"/>
    <n v="120"/>
    <n v="125"/>
  </r>
  <r>
    <x v="0"/>
    <x v="3"/>
    <s v="None"/>
    <n v="345"/>
    <n v="120"/>
    <n v="125"/>
  </r>
  <r>
    <x v="0"/>
    <x v="4"/>
    <s v="None"/>
    <n v="2001"/>
    <n v="250"/>
    <n v="300"/>
  </r>
  <r>
    <x v="1"/>
    <x v="4"/>
    <s v="None"/>
    <n v="2838"/>
    <n v="250"/>
    <n v="12"/>
  </r>
  <r>
    <x v="2"/>
    <x v="4"/>
    <s v="None"/>
    <n v="2178"/>
    <n v="250"/>
    <n v="15"/>
  </r>
  <r>
    <x v="1"/>
    <x v="4"/>
    <s v="None"/>
    <n v="888"/>
    <n v="250"/>
    <n v="15"/>
  </r>
  <r>
    <x v="2"/>
    <x v="4"/>
    <s v="None"/>
    <n v="1527"/>
    <n v="250"/>
    <n v="350"/>
  </r>
  <r>
    <x v="2"/>
    <x v="4"/>
    <s v="None"/>
    <n v="2151"/>
    <n v="250"/>
    <n v="300"/>
  </r>
  <r>
    <x v="0"/>
    <x v="4"/>
    <s v="None"/>
    <n v="1817"/>
    <n v="250"/>
    <n v="20"/>
  </r>
  <r>
    <x v="2"/>
    <x v="5"/>
    <s v="None"/>
    <n v="2750"/>
    <n v="260"/>
    <n v="350"/>
  </r>
  <r>
    <x v="4"/>
    <x v="5"/>
    <s v="None"/>
    <n v="1953"/>
    <n v="260"/>
    <n v="12"/>
  </r>
  <r>
    <x v="1"/>
    <x v="5"/>
    <s v="None"/>
    <n v="4219.5"/>
    <n v="260"/>
    <n v="125"/>
  </r>
  <r>
    <x v="2"/>
    <x v="5"/>
    <s v="None"/>
    <n v="1899"/>
    <n v="260"/>
    <n v="20"/>
  </r>
  <r>
    <x v="1"/>
    <x v="5"/>
    <s v="None"/>
    <n v="1686"/>
    <n v="260"/>
    <n v="7"/>
  </r>
  <r>
    <x v="4"/>
    <x v="5"/>
    <s v="None"/>
    <n v="2141"/>
    <n v="260"/>
    <n v="12"/>
  </r>
  <r>
    <x v="4"/>
    <x v="5"/>
    <s v="None"/>
    <n v="1143"/>
    <n v="260"/>
    <n v="7"/>
  </r>
  <r>
    <x v="4"/>
    <x v="5"/>
    <s v="None"/>
    <n v="615"/>
    <n v="260"/>
    <n v="15"/>
  </r>
  <r>
    <x v="2"/>
    <x v="2"/>
    <s v="Low"/>
    <n v="3945"/>
    <n v="10"/>
    <n v="7"/>
  </r>
  <r>
    <x v="2"/>
    <x v="2"/>
    <s v="Low"/>
    <n v="2296"/>
    <n v="10"/>
    <n v="15"/>
  </r>
  <r>
    <x v="2"/>
    <x v="2"/>
    <s v="Low"/>
    <n v="1030"/>
    <n v="10"/>
    <n v="7"/>
  </r>
  <r>
    <x v="2"/>
    <x v="3"/>
    <s v="Low"/>
    <n v="639"/>
    <n v="120"/>
    <n v="7"/>
  </r>
  <r>
    <x v="0"/>
    <x v="4"/>
    <s v="Low"/>
    <n v="1326"/>
    <n v="250"/>
    <n v="7"/>
  </r>
  <r>
    <x v="4"/>
    <x v="0"/>
    <s v="Low"/>
    <n v="1858"/>
    <n v="3"/>
    <n v="12"/>
  </r>
  <r>
    <x v="3"/>
    <x v="0"/>
    <s v="Low"/>
    <n v="1210"/>
    <n v="3"/>
    <n v="350"/>
  </r>
  <r>
    <x v="4"/>
    <x v="0"/>
    <s v="Low"/>
    <n v="2529"/>
    <n v="3"/>
    <n v="7"/>
  </r>
  <r>
    <x v="0"/>
    <x v="0"/>
    <s v="Low"/>
    <n v="1445"/>
    <n v="3"/>
    <n v="12"/>
  </r>
  <r>
    <x v="4"/>
    <x v="0"/>
    <s v="Low"/>
    <n v="330"/>
    <n v="3"/>
    <n v="125"/>
  </r>
  <r>
    <x v="2"/>
    <x v="0"/>
    <s v="Low"/>
    <n v="2671"/>
    <n v="3"/>
    <n v="12"/>
  </r>
  <r>
    <x v="1"/>
    <x v="0"/>
    <s v="Low"/>
    <n v="766"/>
    <n v="3"/>
    <n v="12"/>
  </r>
  <r>
    <x v="3"/>
    <x v="0"/>
    <s v="Low"/>
    <n v="494"/>
    <n v="3"/>
    <n v="300"/>
  </r>
  <r>
    <x v="3"/>
    <x v="0"/>
    <s v="Low"/>
    <n v="1397"/>
    <n v="3"/>
    <n v="350"/>
  </r>
  <r>
    <x v="2"/>
    <x v="0"/>
    <s v="Low"/>
    <n v="2155"/>
    <n v="3"/>
    <n v="350"/>
  </r>
  <r>
    <x v="3"/>
    <x v="1"/>
    <s v="Low"/>
    <n v="2214"/>
    <n v="5"/>
    <n v="15"/>
  </r>
  <r>
    <x v="4"/>
    <x v="1"/>
    <s v="Low"/>
    <n v="2301"/>
    <n v="5"/>
    <n v="300"/>
  </r>
  <r>
    <x v="2"/>
    <x v="1"/>
    <s v="Low"/>
    <n v="1375.5"/>
    <n v="5"/>
    <n v="20"/>
  </r>
  <r>
    <x v="0"/>
    <x v="1"/>
    <s v="Low"/>
    <n v="1830"/>
    <n v="5"/>
    <n v="7"/>
  </r>
  <r>
    <x v="4"/>
    <x v="1"/>
    <s v="Low"/>
    <n v="2498"/>
    <n v="5"/>
    <n v="300"/>
  </r>
  <r>
    <x v="4"/>
    <x v="1"/>
    <s v="Low"/>
    <n v="663"/>
    <n v="5"/>
    <n v="125"/>
  </r>
  <r>
    <x v="4"/>
    <x v="2"/>
    <s v="Low"/>
    <n v="1514"/>
    <n v="10"/>
    <n v="15"/>
  </r>
  <r>
    <x v="4"/>
    <x v="2"/>
    <s v="Low"/>
    <n v="4492.5"/>
    <n v="10"/>
    <n v="7"/>
  </r>
  <r>
    <x v="4"/>
    <x v="2"/>
    <s v="Low"/>
    <n v="727"/>
    <n v="10"/>
    <n v="125"/>
  </r>
  <r>
    <x v="2"/>
    <x v="2"/>
    <s v="Low"/>
    <n v="787"/>
    <n v="10"/>
    <n v="125"/>
  </r>
  <r>
    <x v="3"/>
    <x v="2"/>
    <s v="Low"/>
    <n v="1823"/>
    <n v="10"/>
    <n v="125"/>
  </r>
  <r>
    <x v="1"/>
    <x v="2"/>
    <s v="Low"/>
    <n v="747"/>
    <n v="10"/>
    <n v="15"/>
  </r>
  <r>
    <x v="1"/>
    <x v="2"/>
    <s v="Low"/>
    <n v="766"/>
    <n v="10"/>
    <n v="12"/>
  </r>
  <r>
    <x v="4"/>
    <x v="2"/>
    <s v="Low"/>
    <n v="2905"/>
    <n v="10"/>
    <n v="300"/>
  </r>
  <r>
    <x v="2"/>
    <x v="2"/>
    <s v="Low"/>
    <n v="2155"/>
    <n v="10"/>
    <n v="350"/>
  </r>
  <r>
    <x v="2"/>
    <x v="3"/>
    <s v="Low"/>
    <n v="3864"/>
    <n v="120"/>
    <n v="20"/>
  </r>
  <r>
    <x v="3"/>
    <x v="3"/>
    <s v="Low"/>
    <n v="362"/>
    <n v="120"/>
    <n v="7"/>
  </r>
  <r>
    <x v="0"/>
    <x v="3"/>
    <s v="Low"/>
    <n v="923"/>
    <n v="120"/>
    <n v="125"/>
  </r>
  <r>
    <x v="4"/>
    <x v="3"/>
    <s v="Low"/>
    <n v="663"/>
    <n v="120"/>
    <n v="125"/>
  </r>
  <r>
    <x v="0"/>
    <x v="3"/>
    <s v="Low"/>
    <n v="2092"/>
    <n v="120"/>
    <n v="7"/>
  </r>
  <r>
    <x v="1"/>
    <x v="4"/>
    <s v="Low"/>
    <n v="263"/>
    <n v="250"/>
    <n v="7"/>
  </r>
  <r>
    <x v="0"/>
    <x v="4"/>
    <s v="Low"/>
    <n v="943.5"/>
    <n v="250"/>
    <n v="350"/>
  </r>
  <r>
    <x v="4"/>
    <x v="4"/>
    <s v="Low"/>
    <n v="727"/>
    <n v="250"/>
    <n v="125"/>
  </r>
  <r>
    <x v="2"/>
    <x v="4"/>
    <s v="Low"/>
    <n v="787"/>
    <n v="250"/>
    <n v="125"/>
  </r>
  <r>
    <x v="1"/>
    <x v="4"/>
    <s v="Low"/>
    <n v="986"/>
    <n v="250"/>
    <n v="300"/>
  </r>
  <r>
    <x v="3"/>
    <x v="4"/>
    <s v="Low"/>
    <n v="494"/>
    <n v="250"/>
    <n v="300"/>
  </r>
  <r>
    <x v="3"/>
    <x v="4"/>
    <s v="Low"/>
    <n v="1397"/>
    <n v="250"/>
    <n v="350"/>
  </r>
  <r>
    <x v="2"/>
    <x v="4"/>
    <s v="Low"/>
    <n v="1744"/>
    <n v="250"/>
    <n v="125"/>
  </r>
  <r>
    <x v="4"/>
    <x v="5"/>
    <s v="Low"/>
    <n v="1989"/>
    <n v="260"/>
    <n v="12"/>
  </r>
  <r>
    <x v="2"/>
    <x v="5"/>
    <s v="Low"/>
    <n v="321"/>
    <n v="260"/>
    <n v="15"/>
  </r>
  <r>
    <x v="0"/>
    <x v="0"/>
    <s v="Low"/>
    <n v="742.5"/>
    <n v="3"/>
    <n v="125"/>
  </r>
  <r>
    <x v="0"/>
    <x v="0"/>
    <s v="Low"/>
    <n v="1295"/>
    <n v="3"/>
    <n v="12"/>
  </r>
  <r>
    <x v="1"/>
    <x v="0"/>
    <s v="Low"/>
    <n v="214"/>
    <n v="3"/>
    <n v="300"/>
  </r>
  <r>
    <x v="2"/>
    <x v="0"/>
    <s v="Low"/>
    <n v="2145"/>
    <n v="3"/>
    <n v="7"/>
  </r>
  <r>
    <x v="0"/>
    <x v="0"/>
    <s v="Low"/>
    <n v="2852"/>
    <n v="3"/>
    <n v="350"/>
  </r>
  <r>
    <x v="4"/>
    <x v="1"/>
    <s v="Low"/>
    <n v="1142"/>
    <n v="5"/>
    <n v="12"/>
  </r>
  <r>
    <x v="4"/>
    <x v="1"/>
    <s v="Low"/>
    <n v="1566"/>
    <n v="5"/>
    <n v="20"/>
  </r>
  <r>
    <x v="3"/>
    <x v="1"/>
    <s v="Low"/>
    <n v="690"/>
    <n v="5"/>
    <n v="12"/>
  </r>
  <r>
    <x v="3"/>
    <x v="1"/>
    <s v="Low"/>
    <n v="1660"/>
    <n v="5"/>
    <n v="125"/>
  </r>
  <r>
    <x v="0"/>
    <x v="2"/>
    <s v="Low"/>
    <n v="2363"/>
    <n v="10"/>
    <n v="15"/>
  </r>
  <r>
    <x v="2"/>
    <x v="2"/>
    <s v="Low"/>
    <n v="918"/>
    <n v="10"/>
    <n v="300"/>
  </r>
  <r>
    <x v="1"/>
    <x v="2"/>
    <s v="Low"/>
    <n v="1728"/>
    <n v="10"/>
    <n v="300"/>
  </r>
  <r>
    <x v="4"/>
    <x v="2"/>
    <s v="Low"/>
    <n v="1142"/>
    <n v="10"/>
    <n v="12"/>
  </r>
  <r>
    <x v="3"/>
    <x v="2"/>
    <s v="Low"/>
    <n v="662"/>
    <n v="10"/>
    <n v="125"/>
  </r>
  <r>
    <x v="0"/>
    <x v="2"/>
    <s v="Low"/>
    <n v="1295"/>
    <n v="10"/>
    <n v="12"/>
  </r>
  <r>
    <x v="1"/>
    <x v="2"/>
    <s v="Low"/>
    <n v="809"/>
    <n v="10"/>
    <n v="125"/>
  </r>
  <r>
    <x v="3"/>
    <x v="2"/>
    <s v="Low"/>
    <n v="2145"/>
    <n v="10"/>
    <n v="125"/>
  </r>
  <r>
    <x v="2"/>
    <x v="2"/>
    <s v="Low"/>
    <n v="1785"/>
    <n v="10"/>
    <n v="12"/>
  </r>
  <r>
    <x v="0"/>
    <x v="2"/>
    <s v="Low"/>
    <n v="1916"/>
    <n v="10"/>
    <n v="300"/>
  </r>
  <r>
    <x v="0"/>
    <x v="2"/>
    <s v="Low"/>
    <n v="2852"/>
    <n v="10"/>
    <n v="350"/>
  </r>
  <r>
    <x v="0"/>
    <x v="2"/>
    <s v="Low"/>
    <n v="2729"/>
    <n v="10"/>
    <n v="125"/>
  </r>
  <r>
    <x v="4"/>
    <x v="2"/>
    <s v="Low"/>
    <n v="1925"/>
    <n v="10"/>
    <n v="15"/>
  </r>
  <r>
    <x v="4"/>
    <x v="2"/>
    <s v="Low"/>
    <n v="2013"/>
    <n v="10"/>
    <n v="7"/>
  </r>
  <r>
    <x v="2"/>
    <x v="2"/>
    <s v="Low"/>
    <n v="1055"/>
    <n v="10"/>
    <n v="12"/>
  </r>
  <r>
    <x v="3"/>
    <x v="2"/>
    <s v="Low"/>
    <n v="1084"/>
    <n v="10"/>
    <n v="12"/>
  </r>
  <r>
    <x v="4"/>
    <x v="3"/>
    <s v="Low"/>
    <n v="1566"/>
    <n v="120"/>
    <n v="20"/>
  </r>
  <r>
    <x v="1"/>
    <x v="3"/>
    <s v="Low"/>
    <n v="2966"/>
    <n v="120"/>
    <n v="350"/>
  </r>
  <r>
    <x v="1"/>
    <x v="3"/>
    <s v="Low"/>
    <n v="2877"/>
    <n v="120"/>
    <n v="350"/>
  </r>
  <r>
    <x v="1"/>
    <x v="3"/>
    <s v="Low"/>
    <n v="809"/>
    <n v="120"/>
    <n v="125"/>
  </r>
  <r>
    <x v="3"/>
    <x v="3"/>
    <s v="Low"/>
    <n v="2145"/>
    <n v="120"/>
    <n v="125"/>
  </r>
  <r>
    <x v="2"/>
    <x v="3"/>
    <s v="Low"/>
    <n v="1055"/>
    <n v="120"/>
    <n v="12"/>
  </r>
  <r>
    <x v="3"/>
    <x v="3"/>
    <s v="Low"/>
    <n v="544"/>
    <n v="120"/>
    <n v="20"/>
  </r>
  <r>
    <x v="3"/>
    <x v="3"/>
    <s v="Low"/>
    <n v="1084"/>
    <n v="120"/>
    <n v="12"/>
  </r>
  <r>
    <x v="3"/>
    <x v="4"/>
    <s v="Low"/>
    <n v="662"/>
    <n v="250"/>
    <n v="125"/>
  </r>
  <r>
    <x v="1"/>
    <x v="4"/>
    <s v="Low"/>
    <n v="214"/>
    <n v="250"/>
    <n v="300"/>
  </r>
  <r>
    <x v="1"/>
    <x v="4"/>
    <s v="Low"/>
    <n v="2877"/>
    <n v="250"/>
    <n v="350"/>
  </r>
  <r>
    <x v="0"/>
    <x v="4"/>
    <s v="Low"/>
    <n v="2729"/>
    <n v="250"/>
    <n v="125"/>
  </r>
  <r>
    <x v="4"/>
    <x v="4"/>
    <s v="Low"/>
    <n v="266"/>
    <n v="250"/>
    <n v="350"/>
  </r>
  <r>
    <x v="3"/>
    <x v="4"/>
    <s v="Low"/>
    <n v="1940"/>
    <n v="250"/>
    <n v="350"/>
  </r>
  <r>
    <x v="1"/>
    <x v="5"/>
    <s v="Low"/>
    <n v="259"/>
    <n v="260"/>
    <n v="300"/>
  </r>
  <r>
    <x v="3"/>
    <x v="5"/>
    <s v="Low"/>
    <n v="1101"/>
    <n v="260"/>
    <n v="300"/>
  </r>
  <r>
    <x v="1"/>
    <x v="5"/>
    <s v="Low"/>
    <n v="2276"/>
    <n v="260"/>
    <n v="125"/>
  </r>
  <r>
    <x v="1"/>
    <x v="5"/>
    <s v="Low"/>
    <n v="2966"/>
    <n v="260"/>
    <n v="350"/>
  </r>
  <r>
    <x v="4"/>
    <x v="5"/>
    <s v="Low"/>
    <n v="1236"/>
    <n v="260"/>
    <n v="20"/>
  </r>
  <r>
    <x v="2"/>
    <x v="5"/>
    <s v="Low"/>
    <n v="941"/>
    <n v="260"/>
    <n v="20"/>
  </r>
  <r>
    <x v="0"/>
    <x v="5"/>
    <s v="Low"/>
    <n v="1916"/>
    <n v="260"/>
    <n v="300"/>
  </r>
  <r>
    <x v="2"/>
    <x v="0"/>
    <s v="Low"/>
    <n v="4243.5"/>
    <n v="3"/>
    <n v="125"/>
  </r>
  <r>
    <x v="1"/>
    <x v="0"/>
    <s v="Low"/>
    <n v="2580"/>
    <n v="3"/>
    <n v="20"/>
  </r>
  <r>
    <x v="1"/>
    <x v="0"/>
    <s v="Low"/>
    <n v="689"/>
    <n v="3"/>
    <n v="300"/>
  </r>
  <r>
    <x v="4"/>
    <x v="0"/>
    <s v="Low"/>
    <n v="1947"/>
    <n v="3"/>
    <n v="12"/>
  </r>
  <r>
    <x v="0"/>
    <x v="0"/>
    <s v="Low"/>
    <n v="908"/>
    <n v="3"/>
    <n v="12"/>
  </r>
  <r>
    <x v="1"/>
    <x v="1"/>
    <s v="Low"/>
    <n v="1958"/>
    <n v="5"/>
    <n v="7"/>
  </r>
  <r>
    <x v="2"/>
    <x v="1"/>
    <s v="Low"/>
    <n v="1901"/>
    <n v="5"/>
    <n v="12"/>
  </r>
  <r>
    <x v="2"/>
    <x v="1"/>
    <s v="Low"/>
    <n v="544"/>
    <n v="5"/>
    <n v="7"/>
  </r>
  <r>
    <x v="1"/>
    <x v="1"/>
    <s v="Low"/>
    <n v="1797"/>
    <n v="5"/>
    <n v="350"/>
  </r>
  <r>
    <x v="2"/>
    <x v="1"/>
    <s v="Low"/>
    <n v="1287"/>
    <n v="5"/>
    <n v="125"/>
  </r>
  <r>
    <x v="1"/>
    <x v="1"/>
    <s v="Low"/>
    <n v="1706"/>
    <n v="5"/>
    <n v="125"/>
  </r>
  <r>
    <x v="2"/>
    <x v="2"/>
    <s v="Low"/>
    <n v="2434.5"/>
    <n v="10"/>
    <n v="300"/>
  </r>
  <r>
    <x v="0"/>
    <x v="2"/>
    <s v="Low"/>
    <n v="1774"/>
    <n v="10"/>
    <n v="125"/>
  </r>
  <r>
    <x v="2"/>
    <x v="2"/>
    <s v="Low"/>
    <n v="1901"/>
    <n v="10"/>
    <n v="12"/>
  </r>
  <r>
    <x v="1"/>
    <x v="2"/>
    <s v="Low"/>
    <n v="689"/>
    <n v="10"/>
    <n v="300"/>
  </r>
  <r>
    <x v="1"/>
    <x v="2"/>
    <s v="Low"/>
    <n v="1570"/>
    <n v="10"/>
    <n v="125"/>
  </r>
  <r>
    <x v="4"/>
    <x v="2"/>
    <s v="Low"/>
    <n v="1369.5"/>
    <n v="10"/>
    <n v="12"/>
  </r>
  <r>
    <x v="0"/>
    <x v="2"/>
    <s v="Low"/>
    <n v="2009"/>
    <n v="10"/>
    <n v="125"/>
  </r>
  <r>
    <x v="1"/>
    <x v="2"/>
    <s v="Low"/>
    <n v="1945"/>
    <n v="10"/>
    <n v="15"/>
  </r>
  <r>
    <x v="2"/>
    <x v="2"/>
    <s v="Low"/>
    <n v="1287"/>
    <n v="10"/>
    <n v="125"/>
  </r>
  <r>
    <x v="1"/>
    <x v="2"/>
    <s v="Low"/>
    <n v="1706"/>
    <n v="10"/>
    <n v="125"/>
  </r>
  <r>
    <x v="0"/>
    <x v="3"/>
    <s v="Low"/>
    <n v="2009"/>
    <n v="120"/>
    <n v="125"/>
  </r>
  <r>
    <x v="4"/>
    <x v="4"/>
    <s v="Low"/>
    <n v="2844"/>
    <n v="250"/>
    <n v="300"/>
  </r>
  <r>
    <x v="3"/>
    <x v="4"/>
    <s v="Low"/>
    <n v="1916"/>
    <n v="250"/>
    <n v="12"/>
  </r>
  <r>
    <x v="1"/>
    <x v="4"/>
    <s v="Low"/>
    <n v="1570"/>
    <n v="250"/>
    <n v="125"/>
  </r>
  <r>
    <x v="0"/>
    <x v="4"/>
    <s v="Low"/>
    <n v="1874"/>
    <n v="250"/>
    <n v="300"/>
  </r>
  <r>
    <x v="3"/>
    <x v="4"/>
    <s v="Low"/>
    <n v="1642"/>
    <n v="250"/>
    <n v="350"/>
  </r>
  <r>
    <x v="1"/>
    <x v="4"/>
    <s v="Low"/>
    <n v="1945"/>
    <n v="250"/>
    <n v="15"/>
  </r>
  <r>
    <x v="0"/>
    <x v="0"/>
    <s v="Low"/>
    <n v="831"/>
    <n v="3"/>
    <n v="20"/>
  </r>
  <r>
    <x v="3"/>
    <x v="2"/>
    <s v="Low"/>
    <n v="1760"/>
    <n v="10"/>
    <n v="7"/>
  </r>
  <r>
    <x v="0"/>
    <x v="3"/>
    <s v="Low"/>
    <n v="3850.5"/>
    <n v="120"/>
    <n v="20"/>
  </r>
  <r>
    <x v="1"/>
    <x v="4"/>
    <s v="Low"/>
    <n v="2479"/>
    <n v="250"/>
    <n v="12"/>
  </r>
  <r>
    <x v="3"/>
    <x v="1"/>
    <s v="Low"/>
    <n v="2031"/>
    <n v="5"/>
    <n v="15"/>
  </r>
  <r>
    <x v="3"/>
    <x v="2"/>
    <s v="Low"/>
    <n v="2031"/>
    <n v="10"/>
    <n v="15"/>
  </r>
  <r>
    <x v="2"/>
    <x v="2"/>
    <s v="Low"/>
    <n v="2261"/>
    <n v="10"/>
    <n v="15"/>
  </r>
  <r>
    <x v="4"/>
    <x v="3"/>
    <s v="Low"/>
    <n v="736"/>
    <n v="120"/>
    <n v="20"/>
  </r>
  <r>
    <x v="0"/>
    <x v="0"/>
    <s v="Low"/>
    <n v="2851"/>
    <n v="3"/>
    <n v="7"/>
  </r>
  <r>
    <x v="1"/>
    <x v="0"/>
    <s v="Low"/>
    <n v="2021"/>
    <n v="3"/>
    <n v="300"/>
  </r>
  <r>
    <x v="4"/>
    <x v="0"/>
    <s v="Low"/>
    <n v="274"/>
    <n v="3"/>
    <n v="350"/>
  </r>
  <r>
    <x v="0"/>
    <x v="1"/>
    <s v="Low"/>
    <n v="1967"/>
    <n v="5"/>
    <n v="15"/>
  </r>
  <r>
    <x v="1"/>
    <x v="1"/>
    <s v="Low"/>
    <n v="1859"/>
    <n v="5"/>
    <n v="300"/>
  </r>
  <r>
    <x v="0"/>
    <x v="1"/>
    <s v="Low"/>
    <n v="2851"/>
    <n v="5"/>
    <n v="7"/>
  </r>
  <r>
    <x v="1"/>
    <x v="1"/>
    <s v="Low"/>
    <n v="2021"/>
    <n v="5"/>
    <n v="300"/>
  </r>
  <r>
    <x v="3"/>
    <x v="1"/>
    <s v="Low"/>
    <n v="1138"/>
    <n v="5"/>
    <n v="125"/>
  </r>
  <r>
    <x v="0"/>
    <x v="2"/>
    <s v="Low"/>
    <n v="4251"/>
    <n v="10"/>
    <n v="7"/>
  </r>
  <r>
    <x v="1"/>
    <x v="2"/>
    <s v="Low"/>
    <n v="795"/>
    <n v="10"/>
    <n v="125"/>
  </r>
  <r>
    <x v="1"/>
    <x v="2"/>
    <s v="Low"/>
    <n v="1414.5"/>
    <n v="10"/>
    <n v="300"/>
  </r>
  <r>
    <x v="4"/>
    <x v="2"/>
    <s v="Low"/>
    <n v="2918"/>
    <n v="10"/>
    <n v="300"/>
  </r>
  <r>
    <x v="4"/>
    <x v="2"/>
    <s v="Low"/>
    <n v="3450"/>
    <n v="10"/>
    <n v="350"/>
  </r>
  <r>
    <x v="2"/>
    <x v="2"/>
    <s v="Low"/>
    <n v="2988"/>
    <n v="10"/>
    <n v="125"/>
  </r>
  <r>
    <x v="0"/>
    <x v="2"/>
    <s v="Low"/>
    <n v="218"/>
    <n v="10"/>
    <n v="15"/>
  </r>
  <r>
    <x v="0"/>
    <x v="2"/>
    <s v="Low"/>
    <n v="2074"/>
    <n v="10"/>
    <n v="20"/>
  </r>
  <r>
    <x v="4"/>
    <x v="2"/>
    <s v="Low"/>
    <n v="1056"/>
    <n v="10"/>
    <n v="20"/>
  </r>
  <r>
    <x v="4"/>
    <x v="2"/>
    <s v="Low"/>
    <n v="671"/>
    <n v="10"/>
    <n v="15"/>
  </r>
  <r>
    <x v="3"/>
    <x v="2"/>
    <s v="Low"/>
    <n v="1514"/>
    <n v="10"/>
    <n v="15"/>
  </r>
  <r>
    <x v="4"/>
    <x v="2"/>
    <s v="Low"/>
    <n v="274"/>
    <n v="10"/>
    <n v="350"/>
  </r>
  <r>
    <x v="3"/>
    <x v="2"/>
    <s v="Low"/>
    <n v="1138"/>
    <n v="10"/>
    <n v="125"/>
  </r>
  <r>
    <x v="4"/>
    <x v="3"/>
    <s v="Low"/>
    <n v="1465"/>
    <n v="120"/>
    <n v="12"/>
  </r>
  <r>
    <x v="0"/>
    <x v="3"/>
    <s v="Low"/>
    <n v="2646"/>
    <n v="120"/>
    <n v="20"/>
  </r>
  <r>
    <x v="2"/>
    <x v="3"/>
    <s v="Low"/>
    <n v="2177"/>
    <n v="120"/>
    <n v="350"/>
  </r>
  <r>
    <x v="2"/>
    <x v="4"/>
    <s v="Low"/>
    <n v="866"/>
    <n v="250"/>
    <n v="12"/>
  </r>
  <r>
    <x v="4"/>
    <x v="4"/>
    <s v="Low"/>
    <n v="349"/>
    <n v="250"/>
    <n v="350"/>
  </r>
  <r>
    <x v="2"/>
    <x v="4"/>
    <s v="Low"/>
    <n v="2177"/>
    <n v="250"/>
    <n v="350"/>
  </r>
  <r>
    <x v="3"/>
    <x v="4"/>
    <s v="Low"/>
    <n v="1514"/>
    <n v="250"/>
    <n v="15"/>
  </r>
  <r>
    <x v="3"/>
    <x v="5"/>
    <s v="Low"/>
    <n v="1865"/>
    <n v="260"/>
    <n v="350"/>
  </r>
  <r>
    <x v="3"/>
    <x v="5"/>
    <s v="Low"/>
    <n v="1074"/>
    <n v="260"/>
    <n v="125"/>
  </r>
  <r>
    <x v="1"/>
    <x v="5"/>
    <s v="Low"/>
    <n v="1907"/>
    <n v="260"/>
    <n v="350"/>
  </r>
  <r>
    <x v="4"/>
    <x v="5"/>
    <s v="Low"/>
    <n v="671"/>
    <n v="260"/>
    <n v="15"/>
  </r>
  <r>
    <x v="0"/>
    <x v="5"/>
    <s v="Low"/>
    <n v="1778"/>
    <n v="260"/>
    <n v="350"/>
  </r>
  <r>
    <x v="1"/>
    <x v="1"/>
    <s v="Medium"/>
    <n v="1159"/>
    <n v="5"/>
    <n v="7"/>
  </r>
  <r>
    <x v="1"/>
    <x v="2"/>
    <s v="Medium"/>
    <n v="1372"/>
    <n v="10"/>
    <n v="7"/>
  </r>
  <r>
    <x v="0"/>
    <x v="2"/>
    <s v="Medium"/>
    <n v="2349"/>
    <n v="10"/>
    <n v="7"/>
  </r>
  <r>
    <x v="3"/>
    <x v="2"/>
    <s v="Medium"/>
    <n v="2689"/>
    <n v="10"/>
    <n v="7"/>
  </r>
  <r>
    <x v="0"/>
    <x v="2"/>
    <s v="Medium"/>
    <n v="2431"/>
    <n v="10"/>
    <n v="12"/>
  </r>
  <r>
    <x v="0"/>
    <x v="3"/>
    <s v="Medium"/>
    <n v="2431"/>
    <n v="120"/>
    <n v="12"/>
  </r>
  <r>
    <x v="3"/>
    <x v="4"/>
    <s v="Medium"/>
    <n v="2689"/>
    <n v="250"/>
    <n v="7"/>
  </r>
  <r>
    <x v="3"/>
    <x v="5"/>
    <s v="Medium"/>
    <n v="1683"/>
    <n v="260"/>
    <n v="7"/>
  </r>
  <r>
    <x v="3"/>
    <x v="5"/>
    <s v="Medium"/>
    <n v="1123"/>
    <n v="260"/>
    <n v="12"/>
  </r>
  <r>
    <x v="1"/>
    <x v="5"/>
    <s v="Medium"/>
    <n v="1159"/>
    <n v="260"/>
    <n v="7"/>
  </r>
  <r>
    <x v="2"/>
    <x v="0"/>
    <s v="Medium"/>
    <n v="1865"/>
    <n v="3"/>
    <n v="12"/>
  </r>
  <r>
    <x v="1"/>
    <x v="0"/>
    <s v="Medium"/>
    <n v="1116"/>
    <n v="3"/>
    <n v="12"/>
  </r>
  <r>
    <x v="2"/>
    <x v="0"/>
    <s v="Medium"/>
    <n v="1563"/>
    <n v="3"/>
    <n v="20"/>
  </r>
  <r>
    <x v="4"/>
    <x v="0"/>
    <s v="Medium"/>
    <n v="991"/>
    <n v="3"/>
    <n v="300"/>
  </r>
  <r>
    <x v="1"/>
    <x v="0"/>
    <s v="Medium"/>
    <n v="1016"/>
    <n v="3"/>
    <n v="7"/>
  </r>
  <r>
    <x v="3"/>
    <x v="0"/>
    <s v="Medium"/>
    <n v="2791"/>
    <n v="3"/>
    <n v="15"/>
  </r>
  <r>
    <x v="4"/>
    <x v="0"/>
    <s v="Medium"/>
    <n v="570"/>
    <n v="3"/>
    <n v="7"/>
  </r>
  <r>
    <x v="2"/>
    <x v="0"/>
    <s v="Medium"/>
    <n v="2487"/>
    <n v="3"/>
    <n v="7"/>
  </r>
  <r>
    <x v="2"/>
    <x v="1"/>
    <s v="Medium"/>
    <n v="1384.5"/>
    <n v="5"/>
    <n v="350"/>
  </r>
  <r>
    <x v="4"/>
    <x v="1"/>
    <s v="Medium"/>
    <n v="3627"/>
    <n v="5"/>
    <n v="125"/>
  </r>
  <r>
    <x v="3"/>
    <x v="1"/>
    <s v="Medium"/>
    <n v="720"/>
    <n v="5"/>
    <n v="350"/>
  </r>
  <r>
    <x v="1"/>
    <x v="1"/>
    <s v="Medium"/>
    <n v="2342"/>
    <n v="5"/>
    <n v="12"/>
  </r>
  <r>
    <x v="3"/>
    <x v="1"/>
    <s v="Medium"/>
    <n v="1100"/>
    <n v="5"/>
    <n v="300"/>
  </r>
  <r>
    <x v="2"/>
    <x v="2"/>
    <s v="Medium"/>
    <n v="1303"/>
    <n v="10"/>
    <n v="20"/>
  </r>
  <r>
    <x v="4"/>
    <x v="2"/>
    <s v="Medium"/>
    <n v="2992"/>
    <n v="10"/>
    <n v="125"/>
  </r>
  <r>
    <x v="2"/>
    <x v="2"/>
    <s v="Medium"/>
    <n v="2385"/>
    <n v="10"/>
    <n v="125"/>
  </r>
  <r>
    <x v="3"/>
    <x v="2"/>
    <s v="Medium"/>
    <n v="1607"/>
    <n v="10"/>
    <n v="300"/>
  </r>
  <r>
    <x v="4"/>
    <x v="2"/>
    <s v="Medium"/>
    <n v="2327"/>
    <n v="10"/>
    <n v="7"/>
  </r>
  <r>
    <x v="4"/>
    <x v="2"/>
    <s v="Medium"/>
    <n v="991"/>
    <n v="10"/>
    <n v="300"/>
  </r>
  <r>
    <x v="4"/>
    <x v="2"/>
    <s v="Medium"/>
    <n v="602"/>
    <n v="10"/>
    <n v="350"/>
  </r>
  <r>
    <x v="2"/>
    <x v="2"/>
    <s v="Medium"/>
    <n v="2620"/>
    <n v="10"/>
    <n v="15"/>
  </r>
  <r>
    <x v="0"/>
    <x v="2"/>
    <s v="Medium"/>
    <n v="1228"/>
    <n v="10"/>
    <n v="350"/>
  </r>
  <r>
    <x v="0"/>
    <x v="2"/>
    <s v="Medium"/>
    <n v="1389"/>
    <n v="10"/>
    <n v="20"/>
  </r>
  <r>
    <x v="4"/>
    <x v="2"/>
    <s v="Medium"/>
    <n v="861"/>
    <n v="10"/>
    <n v="125"/>
  </r>
  <r>
    <x v="2"/>
    <x v="2"/>
    <s v="Medium"/>
    <n v="704"/>
    <n v="10"/>
    <n v="125"/>
  </r>
  <r>
    <x v="0"/>
    <x v="2"/>
    <s v="Medium"/>
    <n v="1802"/>
    <n v="10"/>
    <n v="20"/>
  </r>
  <r>
    <x v="4"/>
    <x v="2"/>
    <s v="Medium"/>
    <n v="2663"/>
    <n v="10"/>
    <n v="20"/>
  </r>
  <r>
    <x v="2"/>
    <x v="2"/>
    <s v="Medium"/>
    <n v="2136"/>
    <n v="10"/>
    <n v="7"/>
  </r>
  <r>
    <x v="1"/>
    <x v="2"/>
    <s v="Medium"/>
    <n v="2116"/>
    <n v="10"/>
    <n v="15"/>
  </r>
  <r>
    <x v="4"/>
    <x v="3"/>
    <s v="Medium"/>
    <n v="555"/>
    <n v="120"/>
    <n v="15"/>
  </r>
  <r>
    <x v="3"/>
    <x v="3"/>
    <s v="Medium"/>
    <n v="2861"/>
    <n v="120"/>
    <n v="15"/>
  </r>
  <r>
    <x v="1"/>
    <x v="3"/>
    <s v="Medium"/>
    <n v="807"/>
    <n v="120"/>
    <n v="125"/>
  </r>
  <r>
    <x v="4"/>
    <x v="3"/>
    <s v="Medium"/>
    <n v="602"/>
    <n v="120"/>
    <n v="350"/>
  </r>
  <r>
    <x v="4"/>
    <x v="3"/>
    <s v="Medium"/>
    <n v="2832"/>
    <n v="120"/>
    <n v="20"/>
  </r>
  <r>
    <x v="2"/>
    <x v="3"/>
    <s v="Medium"/>
    <n v="1579"/>
    <n v="120"/>
    <n v="20"/>
  </r>
  <r>
    <x v="4"/>
    <x v="3"/>
    <s v="Medium"/>
    <n v="861"/>
    <n v="120"/>
    <n v="125"/>
  </r>
  <r>
    <x v="2"/>
    <x v="3"/>
    <s v="Medium"/>
    <n v="704"/>
    <n v="120"/>
    <n v="125"/>
  </r>
  <r>
    <x v="2"/>
    <x v="3"/>
    <s v="Medium"/>
    <n v="1033"/>
    <n v="120"/>
    <n v="20"/>
  </r>
  <r>
    <x v="1"/>
    <x v="3"/>
    <s v="Medium"/>
    <n v="1250"/>
    <n v="120"/>
    <n v="300"/>
  </r>
  <r>
    <x v="0"/>
    <x v="4"/>
    <s v="Medium"/>
    <n v="1389"/>
    <n v="250"/>
    <n v="20"/>
  </r>
  <r>
    <x v="4"/>
    <x v="4"/>
    <s v="Medium"/>
    <n v="1265"/>
    <n v="250"/>
    <n v="20"/>
  </r>
  <r>
    <x v="1"/>
    <x v="4"/>
    <s v="Medium"/>
    <n v="2297"/>
    <n v="250"/>
    <n v="20"/>
  </r>
  <r>
    <x v="4"/>
    <x v="4"/>
    <s v="Medium"/>
    <n v="2663"/>
    <n v="250"/>
    <n v="20"/>
  </r>
  <r>
    <x v="4"/>
    <x v="4"/>
    <s v="Medium"/>
    <n v="570"/>
    <n v="250"/>
    <n v="7"/>
  </r>
  <r>
    <x v="2"/>
    <x v="4"/>
    <s v="Medium"/>
    <n v="2487"/>
    <n v="250"/>
    <n v="7"/>
  </r>
  <r>
    <x v="1"/>
    <x v="5"/>
    <s v="Medium"/>
    <n v="1350"/>
    <n v="260"/>
    <n v="350"/>
  </r>
  <r>
    <x v="0"/>
    <x v="5"/>
    <s v="Medium"/>
    <n v="552"/>
    <n v="260"/>
    <n v="350"/>
  </r>
  <r>
    <x v="0"/>
    <x v="5"/>
    <s v="Medium"/>
    <n v="1228"/>
    <n v="260"/>
    <n v="350"/>
  </r>
  <r>
    <x v="1"/>
    <x v="5"/>
    <s v="Medium"/>
    <n v="1250"/>
    <n v="260"/>
    <n v="300"/>
  </r>
  <r>
    <x v="2"/>
    <x v="2"/>
    <s v="Medium"/>
    <n v="3801"/>
    <n v="10"/>
    <n v="15"/>
  </r>
  <r>
    <x v="4"/>
    <x v="0"/>
    <s v="Medium"/>
    <n v="1117.5"/>
    <n v="3"/>
    <n v="20"/>
  </r>
  <r>
    <x v="0"/>
    <x v="0"/>
    <s v="Medium"/>
    <n v="2844"/>
    <n v="3"/>
    <n v="15"/>
  </r>
  <r>
    <x v="3"/>
    <x v="0"/>
    <s v="Medium"/>
    <n v="562"/>
    <n v="3"/>
    <n v="12"/>
  </r>
  <r>
    <x v="0"/>
    <x v="0"/>
    <s v="Medium"/>
    <n v="2299"/>
    <n v="3"/>
    <n v="12"/>
  </r>
  <r>
    <x v="4"/>
    <x v="0"/>
    <s v="Medium"/>
    <n v="2030"/>
    <n v="3"/>
    <n v="15"/>
  </r>
  <r>
    <x v="4"/>
    <x v="0"/>
    <s v="Medium"/>
    <n v="263"/>
    <n v="3"/>
    <n v="7"/>
  </r>
  <r>
    <x v="1"/>
    <x v="0"/>
    <s v="Medium"/>
    <n v="887"/>
    <n v="3"/>
    <n v="125"/>
  </r>
  <r>
    <x v="3"/>
    <x v="1"/>
    <s v="Medium"/>
    <n v="980"/>
    <n v="5"/>
    <n v="350"/>
  </r>
  <r>
    <x v="1"/>
    <x v="1"/>
    <s v="Medium"/>
    <n v="1460"/>
    <n v="5"/>
    <n v="350"/>
  </r>
  <r>
    <x v="2"/>
    <x v="1"/>
    <s v="Medium"/>
    <n v="1403"/>
    <n v="5"/>
    <n v="7"/>
  </r>
  <r>
    <x v="4"/>
    <x v="1"/>
    <s v="Medium"/>
    <n v="2723"/>
    <n v="5"/>
    <n v="12"/>
  </r>
  <r>
    <x v="2"/>
    <x v="2"/>
    <s v="Medium"/>
    <n v="1496"/>
    <n v="10"/>
    <n v="350"/>
  </r>
  <r>
    <x v="0"/>
    <x v="2"/>
    <s v="Medium"/>
    <n v="2299"/>
    <n v="10"/>
    <n v="12"/>
  </r>
  <r>
    <x v="4"/>
    <x v="2"/>
    <s v="Medium"/>
    <n v="727"/>
    <n v="10"/>
    <n v="350"/>
  </r>
  <r>
    <x v="0"/>
    <x v="3"/>
    <s v="Medium"/>
    <n v="952"/>
    <n v="120"/>
    <n v="125"/>
  </r>
  <r>
    <x v="4"/>
    <x v="3"/>
    <s v="Medium"/>
    <n v="2755"/>
    <n v="120"/>
    <n v="125"/>
  </r>
  <r>
    <x v="1"/>
    <x v="3"/>
    <s v="Medium"/>
    <n v="1530"/>
    <n v="120"/>
    <n v="15"/>
  </r>
  <r>
    <x v="2"/>
    <x v="3"/>
    <s v="Medium"/>
    <n v="1496"/>
    <n v="120"/>
    <n v="350"/>
  </r>
  <r>
    <x v="3"/>
    <x v="3"/>
    <s v="Medium"/>
    <n v="1498"/>
    <n v="120"/>
    <n v="7"/>
  </r>
  <r>
    <x v="2"/>
    <x v="3"/>
    <s v="Medium"/>
    <n v="1221"/>
    <n v="120"/>
    <n v="300"/>
  </r>
  <r>
    <x v="2"/>
    <x v="3"/>
    <s v="Medium"/>
    <n v="2076"/>
    <n v="120"/>
    <n v="350"/>
  </r>
  <r>
    <x v="0"/>
    <x v="4"/>
    <s v="Medium"/>
    <n v="2844"/>
    <n v="250"/>
    <n v="15"/>
  </r>
  <r>
    <x v="3"/>
    <x v="4"/>
    <s v="Medium"/>
    <n v="1498"/>
    <n v="250"/>
    <n v="7"/>
  </r>
  <r>
    <x v="2"/>
    <x v="4"/>
    <s v="Medium"/>
    <n v="1221"/>
    <n v="250"/>
    <n v="300"/>
  </r>
  <r>
    <x v="3"/>
    <x v="4"/>
    <s v="Medium"/>
    <n v="1123"/>
    <n v="250"/>
    <n v="20"/>
  </r>
  <r>
    <x v="0"/>
    <x v="4"/>
    <s v="Medium"/>
    <n v="2436"/>
    <n v="250"/>
    <n v="300"/>
  </r>
  <r>
    <x v="2"/>
    <x v="5"/>
    <s v="Medium"/>
    <n v="1987.5"/>
    <n v="260"/>
    <n v="125"/>
  </r>
  <r>
    <x v="3"/>
    <x v="5"/>
    <s v="Medium"/>
    <n v="1679"/>
    <n v="260"/>
    <n v="350"/>
  </r>
  <r>
    <x v="4"/>
    <x v="5"/>
    <s v="Medium"/>
    <n v="727"/>
    <n v="260"/>
    <n v="350"/>
  </r>
  <r>
    <x v="2"/>
    <x v="5"/>
    <s v="Medium"/>
    <n v="1403"/>
    <n v="260"/>
    <n v="7"/>
  </r>
  <r>
    <x v="2"/>
    <x v="5"/>
    <s v="Medium"/>
    <n v="2076"/>
    <n v="260"/>
    <n v="350"/>
  </r>
  <r>
    <x v="2"/>
    <x v="1"/>
    <s v="Medium"/>
    <n v="1757"/>
    <n v="5"/>
    <n v="20"/>
  </r>
  <r>
    <x v="4"/>
    <x v="2"/>
    <s v="Medium"/>
    <n v="2198"/>
    <n v="10"/>
    <n v="15"/>
  </r>
  <r>
    <x v="1"/>
    <x v="2"/>
    <s v="Medium"/>
    <n v="1743"/>
    <n v="10"/>
    <n v="15"/>
  </r>
  <r>
    <x v="4"/>
    <x v="2"/>
    <s v="Medium"/>
    <n v="1153"/>
    <n v="10"/>
    <n v="15"/>
  </r>
  <r>
    <x v="2"/>
    <x v="2"/>
    <s v="Medium"/>
    <n v="1757"/>
    <n v="10"/>
    <n v="20"/>
  </r>
  <r>
    <x v="1"/>
    <x v="3"/>
    <s v="Medium"/>
    <n v="1001"/>
    <n v="120"/>
    <n v="20"/>
  </r>
  <r>
    <x v="3"/>
    <x v="3"/>
    <s v="Medium"/>
    <n v="1333"/>
    <n v="120"/>
    <n v="7"/>
  </r>
  <r>
    <x v="4"/>
    <x v="4"/>
    <s v="Medium"/>
    <n v="1153"/>
    <n v="250"/>
    <n v="15"/>
  </r>
  <r>
    <x v="3"/>
    <x v="0"/>
    <s v="Medium"/>
    <n v="727"/>
    <n v="3"/>
    <n v="12"/>
  </r>
  <r>
    <x v="0"/>
    <x v="0"/>
    <s v="Medium"/>
    <n v="1884"/>
    <n v="3"/>
    <n v="12"/>
  </r>
  <r>
    <x v="3"/>
    <x v="0"/>
    <s v="Medium"/>
    <n v="1834"/>
    <n v="3"/>
    <n v="20"/>
  </r>
  <r>
    <x v="3"/>
    <x v="1"/>
    <s v="Medium"/>
    <n v="2340"/>
    <n v="5"/>
    <n v="12"/>
  </r>
  <r>
    <x v="2"/>
    <x v="1"/>
    <s v="Medium"/>
    <n v="2342"/>
    <n v="5"/>
    <n v="12"/>
  </r>
  <r>
    <x v="2"/>
    <x v="2"/>
    <s v="Medium"/>
    <n v="1031"/>
    <n v="10"/>
    <n v="7"/>
  </r>
  <r>
    <x v="0"/>
    <x v="3"/>
    <s v="Medium"/>
    <n v="1262"/>
    <n v="120"/>
    <n v="15"/>
  </r>
  <r>
    <x v="0"/>
    <x v="3"/>
    <s v="Medium"/>
    <n v="1135"/>
    <n v="120"/>
    <n v="7"/>
  </r>
  <r>
    <x v="4"/>
    <x v="3"/>
    <s v="Medium"/>
    <n v="547"/>
    <n v="120"/>
    <n v="7"/>
  </r>
  <r>
    <x v="0"/>
    <x v="3"/>
    <s v="Medium"/>
    <n v="1582"/>
    <n v="120"/>
    <n v="7"/>
  </r>
  <r>
    <x v="2"/>
    <x v="4"/>
    <s v="Medium"/>
    <n v="1738.5"/>
    <n v="250"/>
    <n v="12"/>
  </r>
  <r>
    <x v="1"/>
    <x v="4"/>
    <s v="Medium"/>
    <n v="2215"/>
    <n v="250"/>
    <n v="12"/>
  </r>
  <r>
    <x v="0"/>
    <x v="4"/>
    <s v="Medium"/>
    <n v="1582"/>
    <n v="250"/>
    <n v="7"/>
  </r>
  <r>
    <x v="0"/>
    <x v="5"/>
    <s v="Medium"/>
    <n v="1135"/>
    <n v="260"/>
    <n v="7"/>
  </r>
  <r>
    <x v="4"/>
    <x v="0"/>
    <s v="Medium"/>
    <n v="1761"/>
    <n v="3"/>
    <n v="350"/>
  </r>
  <r>
    <x v="2"/>
    <x v="0"/>
    <s v="Medium"/>
    <n v="448"/>
    <n v="3"/>
    <n v="300"/>
  </r>
  <r>
    <x v="2"/>
    <x v="0"/>
    <s v="Medium"/>
    <n v="2181"/>
    <n v="3"/>
    <n v="300"/>
  </r>
  <r>
    <x v="2"/>
    <x v="1"/>
    <s v="Medium"/>
    <n v="1976"/>
    <n v="5"/>
    <n v="20"/>
  </r>
  <r>
    <x v="2"/>
    <x v="1"/>
    <s v="Medium"/>
    <n v="2181"/>
    <n v="5"/>
    <n v="300"/>
  </r>
  <r>
    <x v="1"/>
    <x v="1"/>
    <s v="Medium"/>
    <n v="2500"/>
    <n v="5"/>
    <n v="125"/>
  </r>
  <r>
    <x v="0"/>
    <x v="2"/>
    <s v="Medium"/>
    <n v="1702"/>
    <n v="10"/>
    <n v="300"/>
  </r>
  <r>
    <x v="2"/>
    <x v="2"/>
    <s v="Medium"/>
    <n v="448"/>
    <n v="10"/>
    <n v="300"/>
  </r>
  <r>
    <x v="1"/>
    <x v="2"/>
    <s v="Medium"/>
    <n v="3513"/>
    <n v="10"/>
    <n v="125"/>
  </r>
  <r>
    <x v="2"/>
    <x v="2"/>
    <s v="Medium"/>
    <n v="2101"/>
    <n v="10"/>
    <n v="15"/>
  </r>
  <r>
    <x v="4"/>
    <x v="2"/>
    <s v="Medium"/>
    <n v="2931"/>
    <n v="10"/>
    <n v="15"/>
  </r>
  <r>
    <x v="2"/>
    <x v="2"/>
    <s v="Medium"/>
    <n v="1535"/>
    <n v="10"/>
    <n v="20"/>
  </r>
  <r>
    <x v="1"/>
    <x v="2"/>
    <s v="Medium"/>
    <n v="1123"/>
    <n v="10"/>
    <n v="300"/>
  </r>
  <r>
    <x v="0"/>
    <x v="2"/>
    <s v="Medium"/>
    <n v="1404"/>
    <n v="10"/>
    <n v="300"/>
  </r>
  <r>
    <x v="3"/>
    <x v="2"/>
    <s v="Medium"/>
    <n v="2763"/>
    <n v="10"/>
    <n v="12"/>
  </r>
  <r>
    <x v="1"/>
    <x v="2"/>
    <s v="Medium"/>
    <n v="2125"/>
    <n v="10"/>
    <n v="7"/>
  </r>
  <r>
    <x v="2"/>
    <x v="3"/>
    <s v="Medium"/>
    <n v="1659"/>
    <n v="120"/>
    <n v="300"/>
  </r>
  <r>
    <x v="3"/>
    <x v="3"/>
    <s v="Medium"/>
    <n v="609"/>
    <n v="120"/>
    <n v="20"/>
  </r>
  <r>
    <x v="1"/>
    <x v="3"/>
    <s v="Medium"/>
    <n v="2087"/>
    <n v="120"/>
    <n v="125"/>
  </r>
  <r>
    <x v="2"/>
    <x v="3"/>
    <s v="Medium"/>
    <n v="1976"/>
    <n v="120"/>
    <n v="20"/>
  </r>
  <r>
    <x v="4"/>
    <x v="3"/>
    <s v="Medium"/>
    <n v="1421"/>
    <n v="120"/>
    <n v="20"/>
  </r>
  <r>
    <x v="4"/>
    <x v="3"/>
    <s v="Medium"/>
    <n v="1372"/>
    <n v="120"/>
    <n v="300"/>
  </r>
  <r>
    <x v="1"/>
    <x v="3"/>
    <s v="Medium"/>
    <n v="588"/>
    <n v="120"/>
    <n v="20"/>
  </r>
  <r>
    <x v="0"/>
    <x v="4"/>
    <s v="Medium"/>
    <n v="3244.5"/>
    <n v="250"/>
    <n v="12"/>
  </r>
  <r>
    <x v="2"/>
    <x v="4"/>
    <s v="Medium"/>
    <n v="959"/>
    <n v="250"/>
    <n v="300"/>
  </r>
  <r>
    <x v="3"/>
    <x v="4"/>
    <s v="Medium"/>
    <n v="2747"/>
    <n v="250"/>
    <n v="300"/>
  </r>
  <r>
    <x v="0"/>
    <x v="5"/>
    <s v="Medium"/>
    <n v="1645"/>
    <n v="260"/>
    <n v="125"/>
  </r>
  <r>
    <x v="2"/>
    <x v="5"/>
    <s v="Medium"/>
    <n v="2876"/>
    <n v="260"/>
    <n v="350"/>
  </r>
  <r>
    <x v="1"/>
    <x v="5"/>
    <s v="Medium"/>
    <n v="994"/>
    <n v="260"/>
    <n v="125"/>
  </r>
  <r>
    <x v="0"/>
    <x v="5"/>
    <s v="Medium"/>
    <n v="1118"/>
    <n v="260"/>
    <n v="20"/>
  </r>
  <r>
    <x v="4"/>
    <x v="5"/>
    <s v="Medium"/>
    <n v="1372"/>
    <n v="260"/>
    <n v="300"/>
  </r>
  <r>
    <x v="0"/>
    <x v="1"/>
    <s v="Medium"/>
    <n v="488"/>
    <n v="5"/>
    <n v="7"/>
  </r>
  <r>
    <x v="4"/>
    <x v="1"/>
    <s v="Medium"/>
    <n v="1282"/>
    <n v="5"/>
    <n v="20"/>
  </r>
  <r>
    <x v="0"/>
    <x v="2"/>
    <s v="Medium"/>
    <n v="257"/>
    <n v="10"/>
    <n v="7"/>
  </r>
  <r>
    <x v="4"/>
    <x v="5"/>
    <s v="Medium"/>
    <n v="1282"/>
    <n v="260"/>
    <n v="20"/>
  </r>
  <r>
    <x v="3"/>
    <x v="0"/>
    <s v="Medium"/>
    <n v="1540"/>
    <n v="3"/>
    <n v="125"/>
  </r>
  <r>
    <x v="2"/>
    <x v="0"/>
    <s v="Medium"/>
    <n v="490"/>
    <n v="3"/>
    <n v="15"/>
  </r>
  <r>
    <x v="3"/>
    <x v="0"/>
    <s v="Medium"/>
    <n v="1362"/>
    <n v="3"/>
    <n v="350"/>
  </r>
  <r>
    <x v="2"/>
    <x v="1"/>
    <s v="Medium"/>
    <n v="2501"/>
    <n v="5"/>
    <n v="15"/>
  </r>
  <r>
    <x v="0"/>
    <x v="1"/>
    <s v="Medium"/>
    <n v="708"/>
    <n v="5"/>
    <n v="20"/>
  </r>
  <r>
    <x v="1"/>
    <x v="1"/>
    <s v="Medium"/>
    <n v="645"/>
    <n v="5"/>
    <n v="20"/>
  </r>
  <r>
    <x v="2"/>
    <x v="1"/>
    <s v="Medium"/>
    <n v="1562"/>
    <n v="5"/>
    <n v="300"/>
  </r>
  <r>
    <x v="0"/>
    <x v="1"/>
    <s v="Medium"/>
    <n v="1283"/>
    <n v="5"/>
    <n v="300"/>
  </r>
  <r>
    <x v="1"/>
    <x v="1"/>
    <s v="Medium"/>
    <n v="711"/>
    <n v="5"/>
    <n v="15"/>
  </r>
  <r>
    <x v="3"/>
    <x v="2"/>
    <s v="Medium"/>
    <n v="1114"/>
    <n v="10"/>
    <n v="125"/>
  </r>
  <r>
    <x v="1"/>
    <x v="2"/>
    <s v="Medium"/>
    <n v="1259"/>
    <n v="10"/>
    <n v="7"/>
  </r>
  <r>
    <x v="1"/>
    <x v="2"/>
    <s v="Medium"/>
    <n v="1095"/>
    <n v="10"/>
    <n v="7"/>
  </r>
  <r>
    <x v="1"/>
    <x v="2"/>
    <s v="Medium"/>
    <n v="1366"/>
    <n v="10"/>
    <n v="20"/>
  </r>
  <r>
    <x v="3"/>
    <x v="2"/>
    <s v="Medium"/>
    <n v="2460"/>
    <n v="10"/>
    <n v="300"/>
  </r>
  <r>
    <x v="4"/>
    <x v="2"/>
    <s v="Medium"/>
    <n v="678"/>
    <n v="10"/>
    <n v="7"/>
  </r>
  <r>
    <x v="1"/>
    <x v="2"/>
    <s v="Medium"/>
    <n v="1598"/>
    <n v="10"/>
    <n v="7"/>
  </r>
  <r>
    <x v="1"/>
    <x v="2"/>
    <s v="Medium"/>
    <n v="2409"/>
    <n v="10"/>
    <n v="7"/>
  </r>
  <r>
    <x v="1"/>
    <x v="2"/>
    <s v="Medium"/>
    <n v="1934"/>
    <n v="10"/>
    <n v="20"/>
  </r>
  <r>
    <x v="3"/>
    <x v="2"/>
    <s v="Medium"/>
    <n v="2993"/>
    <n v="10"/>
    <n v="20"/>
  </r>
  <r>
    <x v="1"/>
    <x v="2"/>
    <s v="Medium"/>
    <n v="2146"/>
    <n v="10"/>
    <n v="350"/>
  </r>
  <r>
    <x v="3"/>
    <x v="2"/>
    <s v="Medium"/>
    <n v="1946"/>
    <n v="10"/>
    <n v="7"/>
  </r>
  <r>
    <x v="3"/>
    <x v="2"/>
    <s v="Medium"/>
    <n v="1362"/>
    <n v="10"/>
    <n v="350"/>
  </r>
  <r>
    <x v="0"/>
    <x v="3"/>
    <s v="Medium"/>
    <n v="598"/>
    <n v="120"/>
    <n v="12"/>
  </r>
  <r>
    <x v="4"/>
    <x v="3"/>
    <s v="Medium"/>
    <n v="2907"/>
    <n v="120"/>
    <n v="7"/>
  </r>
  <r>
    <x v="1"/>
    <x v="3"/>
    <s v="Medium"/>
    <n v="2338"/>
    <n v="120"/>
    <n v="7"/>
  </r>
  <r>
    <x v="2"/>
    <x v="3"/>
    <s v="Medium"/>
    <n v="386"/>
    <n v="120"/>
    <n v="300"/>
  </r>
  <r>
    <x v="3"/>
    <x v="3"/>
    <s v="Medium"/>
    <n v="635"/>
    <n v="120"/>
    <n v="300"/>
  </r>
  <r>
    <x v="2"/>
    <x v="4"/>
    <s v="Medium"/>
    <n v="574.5"/>
    <n v="250"/>
    <n v="350"/>
  </r>
  <r>
    <x v="1"/>
    <x v="4"/>
    <s v="Medium"/>
    <n v="2338"/>
    <n v="250"/>
    <n v="7"/>
  </r>
  <r>
    <x v="2"/>
    <x v="4"/>
    <s v="Medium"/>
    <n v="381"/>
    <n v="250"/>
    <n v="350"/>
  </r>
  <r>
    <x v="1"/>
    <x v="4"/>
    <s v="Medium"/>
    <n v="422"/>
    <n v="250"/>
    <n v="350"/>
  </r>
  <r>
    <x v="0"/>
    <x v="4"/>
    <s v="Medium"/>
    <n v="2134"/>
    <n v="250"/>
    <n v="300"/>
  </r>
  <r>
    <x v="4"/>
    <x v="4"/>
    <s v="Medium"/>
    <n v="808"/>
    <n v="250"/>
    <n v="300"/>
  </r>
  <r>
    <x v="0"/>
    <x v="5"/>
    <s v="Medium"/>
    <n v="708"/>
    <n v="260"/>
    <n v="20"/>
  </r>
  <r>
    <x v="4"/>
    <x v="5"/>
    <s v="Medium"/>
    <n v="2907"/>
    <n v="260"/>
    <n v="7"/>
  </r>
  <r>
    <x v="1"/>
    <x v="5"/>
    <s v="Medium"/>
    <n v="1366"/>
    <n v="260"/>
    <n v="20"/>
  </r>
  <r>
    <x v="3"/>
    <x v="5"/>
    <s v="Medium"/>
    <n v="2460"/>
    <n v="260"/>
    <n v="300"/>
  </r>
  <r>
    <x v="1"/>
    <x v="5"/>
    <s v="Medium"/>
    <n v="1520"/>
    <n v="260"/>
    <n v="20"/>
  </r>
  <r>
    <x v="1"/>
    <x v="5"/>
    <s v="Medium"/>
    <n v="711"/>
    <n v="260"/>
    <n v="15"/>
  </r>
  <r>
    <x v="3"/>
    <x v="5"/>
    <s v="Medium"/>
    <n v="1375"/>
    <n v="260"/>
    <n v="12"/>
  </r>
  <r>
    <x v="3"/>
    <x v="5"/>
    <s v="Medium"/>
    <n v="635"/>
    <n v="260"/>
    <n v="300"/>
  </r>
  <r>
    <x v="4"/>
    <x v="4"/>
    <s v="Medium"/>
    <n v="436.5"/>
    <n v="250"/>
    <n v="20"/>
  </r>
  <r>
    <x v="0"/>
    <x v="0"/>
    <s v="Medium"/>
    <n v="1094"/>
    <n v="3"/>
    <n v="300"/>
  </r>
  <r>
    <x v="3"/>
    <x v="0"/>
    <s v="Medium"/>
    <n v="367"/>
    <n v="3"/>
    <n v="12"/>
  </r>
  <r>
    <x v="0"/>
    <x v="1"/>
    <s v="Medium"/>
    <n v="3802.5"/>
    <n v="5"/>
    <n v="300"/>
  </r>
  <r>
    <x v="2"/>
    <x v="1"/>
    <s v="Medium"/>
    <n v="1666"/>
    <n v="5"/>
    <n v="350"/>
  </r>
  <r>
    <x v="2"/>
    <x v="1"/>
    <s v="Medium"/>
    <n v="322"/>
    <n v="5"/>
    <n v="300"/>
  </r>
  <r>
    <x v="0"/>
    <x v="1"/>
    <s v="Medium"/>
    <n v="2321"/>
    <n v="5"/>
    <n v="12"/>
  </r>
  <r>
    <x v="2"/>
    <x v="1"/>
    <s v="Medium"/>
    <n v="1857"/>
    <n v="5"/>
    <n v="125"/>
  </r>
  <r>
    <x v="0"/>
    <x v="1"/>
    <s v="Medium"/>
    <n v="1611"/>
    <n v="5"/>
    <n v="7"/>
  </r>
  <r>
    <x v="4"/>
    <x v="1"/>
    <s v="Medium"/>
    <n v="2797"/>
    <n v="5"/>
    <n v="125"/>
  </r>
  <r>
    <x v="1"/>
    <x v="1"/>
    <s v="Medium"/>
    <n v="334"/>
    <n v="5"/>
    <n v="300"/>
  </r>
  <r>
    <x v="3"/>
    <x v="2"/>
    <s v="Medium"/>
    <n v="2565"/>
    <n v="10"/>
    <n v="300"/>
  </r>
  <r>
    <x v="3"/>
    <x v="2"/>
    <s v="Medium"/>
    <n v="2417"/>
    <n v="10"/>
    <n v="350"/>
  </r>
  <r>
    <x v="4"/>
    <x v="2"/>
    <s v="Medium"/>
    <n v="3675"/>
    <n v="10"/>
    <n v="15"/>
  </r>
  <r>
    <x v="0"/>
    <x v="2"/>
    <s v="Medium"/>
    <n v="1094"/>
    <n v="10"/>
    <n v="300"/>
  </r>
  <r>
    <x v="2"/>
    <x v="2"/>
    <s v="Medium"/>
    <n v="1227"/>
    <n v="10"/>
    <n v="15"/>
  </r>
  <r>
    <x v="3"/>
    <x v="2"/>
    <s v="Medium"/>
    <n v="367"/>
    <n v="10"/>
    <n v="12"/>
  </r>
  <r>
    <x v="2"/>
    <x v="2"/>
    <s v="Medium"/>
    <n v="1324"/>
    <n v="10"/>
    <n v="300"/>
  </r>
  <r>
    <x v="1"/>
    <x v="2"/>
    <s v="Medium"/>
    <n v="1775"/>
    <n v="10"/>
    <n v="12"/>
  </r>
  <r>
    <x v="4"/>
    <x v="2"/>
    <s v="Medium"/>
    <n v="2797"/>
    <n v="10"/>
    <n v="125"/>
  </r>
  <r>
    <x v="3"/>
    <x v="3"/>
    <s v="Medium"/>
    <n v="245"/>
    <n v="120"/>
    <n v="15"/>
  </r>
  <r>
    <x v="0"/>
    <x v="3"/>
    <s v="Medium"/>
    <n v="3793.5"/>
    <n v="120"/>
    <n v="300"/>
  </r>
  <r>
    <x v="1"/>
    <x v="3"/>
    <s v="Medium"/>
    <n v="1307"/>
    <n v="120"/>
    <n v="350"/>
  </r>
  <r>
    <x v="0"/>
    <x v="3"/>
    <s v="Medium"/>
    <n v="567"/>
    <n v="120"/>
    <n v="125"/>
  </r>
  <r>
    <x v="3"/>
    <x v="3"/>
    <s v="Medium"/>
    <n v="2110"/>
    <n v="120"/>
    <n v="125"/>
  </r>
  <r>
    <x v="0"/>
    <x v="3"/>
    <s v="Medium"/>
    <n v="1269"/>
    <n v="120"/>
    <n v="350"/>
  </r>
  <r>
    <x v="4"/>
    <x v="4"/>
    <s v="Medium"/>
    <n v="1956"/>
    <n v="250"/>
    <n v="12"/>
  </r>
  <r>
    <x v="1"/>
    <x v="4"/>
    <s v="Medium"/>
    <n v="2659"/>
    <n v="250"/>
    <n v="300"/>
  </r>
  <r>
    <x v="4"/>
    <x v="4"/>
    <s v="Medium"/>
    <n v="1351.5"/>
    <n v="250"/>
    <n v="350"/>
  </r>
  <r>
    <x v="1"/>
    <x v="4"/>
    <s v="Medium"/>
    <n v="880"/>
    <n v="250"/>
    <n v="12"/>
  </r>
  <r>
    <x v="4"/>
    <x v="4"/>
    <s v="Medium"/>
    <n v="1867"/>
    <n v="250"/>
    <n v="300"/>
  </r>
  <r>
    <x v="2"/>
    <x v="4"/>
    <s v="Medium"/>
    <n v="2234"/>
    <n v="250"/>
    <n v="12"/>
  </r>
  <r>
    <x v="2"/>
    <x v="4"/>
    <s v="Medium"/>
    <n v="1227"/>
    <n v="250"/>
    <n v="15"/>
  </r>
  <r>
    <x v="3"/>
    <x v="4"/>
    <s v="Medium"/>
    <n v="877"/>
    <n v="250"/>
    <n v="125"/>
  </r>
  <r>
    <x v="4"/>
    <x v="5"/>
    <s v="Medium"/>
    <n v="2071"/>
    <n v="260"/>
    <n v="350"/>
  </r>
  <r>
    <x v="0"/>
    <x v="5"/>
    <s v="Medium"/>
    <n v="1269"/>
    <n v="260"/>
    <n v="350"/>
  </r>
  <r>
    <x v="1"/>
    <x v="5"/>
    <s v="Medium"/>
    <n v="970"/>
    <n v="260"/>
    <n v="15"/>
  </r>
  <r>
    <x v="3"/>
    <x v="5"/>
    <s v="Medium"/>
    <n v="1694"/>
    <n v="260"/>
    <n v="20"/>
  </r>
  <r>
    <x v="1"/>
    <x v="0"/>
    <s v="Medium"/>
    <n v="663"/>
    <n v="3"/>
    <n v="20"/>
  </r>
  <r>
    <x v="0"/>
    <x v="0"/>
    <s v="Medium"/>
    <n v="819"/>
    <n v="3"/>
    <n v="7"/>
  </r>
  <r>
    <x v="1"/>
    <x v="0"/>
    <s v="Medium"/>
    <n v="1580"/>
    <n v="3"/>
    <n v="12"/>
  </r>
  <r>
    <x v="3"/>
    <x v="0"/>
    <s v="Medium"/>
    <n v="521"/>
    <n v="3"/>
    <n v="7"/>
  </r>
  <r>
    <x v="4"/>
    <x v="2"/>
    <s v="Medium"/>
    <n v="973"/>
    <n v="10"/>
    <n v="20"/>
  </r>
  <r>
    <x v="3"/>
    <x v="2"/>
    <s v="Medium"/>
    <n v="1038"/>
    <n v="10"/>
    <n v="20"/>
  </r>
  <r>
    <x v="1"/>
    <x v="2"/>
    <s v="Medium"/>
    <n v="360"/>
    <n v="10"/>
    <n v="7"/>
  </r>
  <r>
    <x v="2"/>
    <x v="3"/>
    <s v="Medium"/>
    <n v="1967"/>
    <n v="120"/>
    <n v="12"/>
  </r>
  <r>
    <x v="3"/>
    <x v="3"/>
    <s v="Medium"/>
    <n v="2628"/>
    <n v="120"/>
    <n v="15"/>
  </r>
  <r>
    <x v="1"/>
    <x v="4"/>
    <s v="Medium"/>
    <n v="360"/>
    <n v="250"/>
    <n v="7"/>
  </r>
  <r>
    <x v="2"/>
    <x v="4"/>
    <s v="Medium"/>
    <n v="2682"/>
    <n v="250"/>
    <n v="20"/>
  </r>
  <r>
    <x v="3"/>
    <x v="4"/>
    <s v="Medium"/>
    <n v="521"/>
    <n v="250"/>
    <n v="7"/>
  </r>
  <r>
    <x v="3"/>
    <x v="5"/>
    <s v="Medium"/>
    <n v="1038"/>
    <n v="260"/>
    <n v="20"/>
  </r>
  <r>
    <x v="0"/>
    <x v="5"/>
    <s v="Medium"/>
    <n v="1630.5"/>
    <n v="260"/>
    <n v="15"/>
  </r>
  <r>
    <x v="2"/>
    <x v="5"/>
    <s v="Medium"/>
    <n v="306"/>
    <n v="260"/>
    <n v="12"/>
  </r>
  <r>
    <x v="4"/>
    <x v="0"/>
    <s v="High"/>
    <n v="386"/>
    <n v="3"/>
    <n v="12"/>
  </r>
  <r>
    <x v="4"/>
    <x v="1"/>
    <s v="High"/>
    <n v="2328"/>
    <n v="5"/>
    <n v="7"/>
  </r>
  <r>
    <x v="4"/>
    <x v="2"/>
    <s v="High"/>
    <n v="386"/>
    <n v="10"/>
    <n v="12"/>
  </r>
  <r>
    <x v="4"/>
    <x v="0"/>
    <s v="High"/>
    <n v="3445.5"/>
    <n v="3"/>
    <n v="125"/>
  </r>
  <r>
    <x v="2"/>
    <x v="0"/>
    <s v="High"/>
    <n v="1482"/>
    <n v="3"/>
    <n v="125"/>
  </r>
  <r>
    <x v="4"/>
    <x v="1"/>
    <s v="High"/>
    <n v="2313"/>
    <n v="5"/>
    <n v="350"/>
  </r>
  <r>
    <x v="4"/>
    <x v="1"/>
    <s v="High"/>
    <n v="1804"/>
    <n v="5"/>
    <n v="125"/>
  </r>
  <r>
    <x v="2"/>
    <x v="1"/>
    <s v="High"/>
    <n v="2072"/>
    <n v="5"/>
    <n v="15"/>
  </r>
  <r>
    <x v="2"/>
    <x v="2"/>
    <s v="High"/>
    <n v="1954"/>
    <n v="10"/>
    <n v="20"/>
  </r>
  <r>
    <x v="3"/>
    <x v="2"/>
    <s v="High"/>
    <n v="591"/>
    <n v="10"/>
    <n v="300"/>
  </r>
  <r>
    <x v="2"/>
    <x v="2"/>
    <s v="High"/>
    <n v="2167"/>
    <n v="10"/>
    <n v="15"/>
  </r>
  <r>
    <x v="1"/>
    <x v="2"/>
    <s v="High"/>
    <n v="241"/>
    <n v="10"/>
    <n v="20"/>
  </r>
  <r>
    <x v="1"/>
    <x v="3"/>
    <s v="High"/>
    <n v="681"/>
    <n v="120"/>
    <n v="15"/>
  </r>
  <r>
    <x v="1"/>
    <x v="3"/>
    <s v="High"/>
    <n v="510"/>
    <n v="120"/>
    <n v="15"/>
  </r>
  <r>
    <x v="4"/>
    <x v="3"/>
    <s v="High"/>
    <n v="790"/>
    <n v="120"/>
    <n v="15"/>
  </r>
  <r>
    <x v="2"/>
    <x v="3"/>
    <s v="High"/>
    <n v="639"/>
    <n v="120"/>
    <n v="350"/>
  </r>
  <r>
    <x v="4"/>
    <x v="3"/>
    <s v="High"/>
    <n v="1596"/>
    <n v="120"/>
    <n v="125"/>
  </r>
  <r>
    <x v="4"/>
    <x v="3"/>
    <s v="High"/>
    <n v="2294"/>
    <n v="120"/>
    <n v="300"/>
  </r>
  <r>
    <x v="1"/>
    <x v="3"/>
    <s v="High"/>
    <n v="241"/>
    <n v="120"/>
    <n v="20"/>
  </r>
  <r>
    <x v="1"/>
    <x v="3"/>
    <s v="High"/>
    <n v="2665"/>
    <n v="120"/>
    <n v="7"/>
  </r>
  <r>
    <x v="0"/>
    <x v="3"/>
    <s v="High"/>
    <n v="1916"/>
    <n v="120"/>
    <n v="125"/>
  </r>
  <r>
    <x v="2"/>
    <x v="3"/>
    <s v="High"/>
    <n v="853"/>
    <n v="120"/>
    <n v="300"/>
  </r>
  <r>
    <x v="3"/>
    <x v="4"/>
    <s v="High"/>
    <n v="341"/>
    <n v="250"/>
    <n v="125"/>
  </r>
  <r>
    <x v="3"/>
    <x v="4"/>
    <s v="High"/>
    <n v="641"/>
    <n v="250"/>
    <n v="15"/>
  </r>
  <r>
    <x v="4"/>
    <x v="4"/>
    <s v="High"/>
    <n v="2807"/>
    <n v="250"/>
    <n v="350"/>
  </r>
  <r>
    <x v="3"/>
    <x v="4"/>
    <s v="High"/>
    <n v="432"/>
    <n v="250"/>
    <n v="300"/>
  </r>
  <r>
    <x v="4"/>
    <x v="4"/>
    <s v="High"/>
    <n v="2294"/>
    <n v="250"/>
    <n v="300"/>
  </r>
  <r>
    <x v="2"/>
    <x v="4"/>
    <s v="High"/>
    <n v="2167"/>
    <n v="250"/>
    <n v="15"/>
  </r>
  <r>
    <x v="0"/>
    <x v="4"/>
    <s v="High"/>
    <n v="2529"/>
    <n v="250"/>
    <n v="125"/>
  </r>
  <r>
    <x v="1"/>
    <x v="4"/>
    <s v="High"/>
    <n v="1870"/>
    <n v="250"/>
    <n v="350"/>
  </r>
  <r>
    <x v="4"/>
    <x v="5"/>
    <s v="High"/>
    <n v="579"/>
    <n v="260"/>
    <n v="125"/>
  </r>
  <r>
    <x v="0"/>
    <x v="5"/>
    <s v="High"/>
    <n v="2240"/>
    <n v="260"/>
    <n v="350"/>
  </r>
  <r>
    <x v="4"/>
    <x v="5"/>
    <s v="High"/>
    <n v="2993"/>
    <n v="260"/>
    <n v="300"/>
  </r>
  <r>
    <x v="0"/>
    <x v="5"/>
    <s v="High"/>
    <n v="3520.5"/>
    <n v="260"/>
    <n v="12"/>
  </r>
  <r>
    <x v="3"/>
    <x v="5"/>
    <s v="High"/>
    <n v="2039"/>
    <n v="260"/>
    <n v="20"/>
  </r>
  <r>
    <x v="1"/>
    <x v="5"/>
    <s v="High"/>
    <n v="2574"/>
    <n v="260"/>
    <n v="12"/>
  </r>
  <r>
    <x v="0"/>
    <x v="5"/>
    <s v="High"/>
    <n v="707"/>
    <n v="260"/>
    <n v="350"/>
  </r>
  <r>
    <x v="2"/>
    <x v="5"/>
    <s v="High"/>
    <n v="2072"/>
    <n v="260"/>
    <n v="15"/>
  </r>
  <r>
    <x v="2"/>
    <x v="5"/>
    <s v="High"/>
    <n v="853"/>
    <n v="260"/>
    <n v="300"/>
  </r>
  <r>
    <x v="2"/>
    <x v="0"/>
    <s v="High"/>
    <n v="1198"/>
    <n v="3"/>
    <n v="12"/>
  </r>
  <r>
    <x v="2"/>
    <x v="2"/>
    <s v="High"/>
    <n v="2532"/>
    <n v="10"/>
    <n v="7"/>
  </r>
  <r>
    <x v="2"/>
    <x v="2"/>
    <s v="High"/>
    <n v="1198"/>
    <n v="10"/>
    <n v="12"/>
  </r>
  <r>
    <x v="0"/>
    <x v="3"/>
    <s v="High"/>
    <n v="384"/>
    <n v="120"/>
    <n v="15"/>
  </r>
  <r>
    <x v="1"/>
    <x v="3"/>
    <s v="High"/>
    <n v="472"/>
    <n v="120"/>
    <n v="12"/>
  </r>
  <r>
    <x v="4"/>
    <x v="4"/>
    <s v="High"/>
    <n v="1579"/>
    <n v="250"/>
    <n v="7"/>
  </r>
  <r>
    <x v="3"/>
    <x v="4"/>
    <s v="High"/>
    <n v="1005"/>
    <n v="250"/>
    <n v="12"/>
  </r>
  <r>
    <x v="4"/>
    <x v="5"/>
    <s v="High"/>
    <n v="3199.5"/>
    <n v="260"/>
    <n v="15"/>
  </r>
  <r>
    <x v="1"/>
    <x v="5"/>
    <s v="High"/>
    <n v="472"/>
    <n v="260"/>
    <n v="12"/>
  </r>
  <r>
    <x v="0"/>
    <x v="0"/>
    <s v="High"/>
    <n v="1937"/>
    <n v="3"/>
    <n v="12"/>
  </r>
  <r>
    <x v="1"/>
    <x v="0"/>
    <s v="High"/>
    <n v="792"/>
    <n v="3"/>
    <n v="350"/>
  </r>
  <r>
    <x v="1"/>
    <x v="0"/>
    <s v="High"/>
    <n v="2811"/>
    <n v="3"/>
    <n v="300"/>
  </r>
  <r>
    <x v="2"/>
    <x v="0"/>
    <s v="High"/>
    <n v="2441"/>
    <n v="3"/>
    <n v="125"/>
  </r>
  <r>
    <x v="0"/>
    <x v="0"/>
    <s v="High"/>
    <n v="1560"/>
    <n v="3"/>
    <n v="15"/>
  </r>
  <r>
    <x v="3"/>
    <x v="0"/>
    <s v="High"/>
    <n v="2706"/>
    <n v="3"/>
    <n v="7"/>
  </r>
  <r>
    <x v="1"/>
    <x v="1"/>
    <s v="High"/>
    <n v="766"/>
    <n v="5"/>
    <n v="350"/>
  </r>
  <r>
    <x v="1"/>
    <x v="1"/>
    <s v="High"/>
    <n v="2992"/>
    <n v="5"/>
    <n v="20"/>
  </r>
  <r>
    <x v="3"/>
    <x v="1"/>
    <s v="High"/>
    <n v="2157"/>
    <n v="5"/>
    <n v="15"/>
  </r>
  <r>
    <x v="0"/>
    <x v="2"/>
    <s v="High"/>
    <n v="873"/>
    <n v="10"/>
    <n v="300"/>
  </r>
  <r>
    <x v="3"/>
    <x v="2"/>
    <s v="High"/>
    <n v="1122"/>
    <n v="10"/>
    <n v="20"/>
  </r>
  <r>
    <x v="0"/>
    <x v="2"/>
    <s v="High"/>
    <n v="2104.5"/>
    <n v="10"/>
    <n v="350"/>
  </r>
  <r>
    <x v="0"/>
    <x v="2"/>
    <s v="High"/>
    <n v="4026"/>
    <n v="10"/>
    <n v="12"/>
  </r>
  <r>
    <x v="2"/>
    <x v="2"/>
    <s v="High"/>
    <n v="2425.5"/>
    <n v="10"/>
    <n v="12"/>
  </r>
  <r>
    <x v="0"/>
    <x v="2"/>
    <s v="High"/>
    <n v="2394"/>
    <n v="10"/>
    <n v="20"/>
  </r>
  <r>
    <x v="3"/>
    <x v="2"/>
    <s v="High"/>
    <n v="1984"/>
    <n v="10"/>
    <n v="15"/>
  </r>
  <r>
    <x v="2"/>
    <x v="2"/>
    <s v="High"/>
    <n v="2441"/>
    <n v="10"/>
    <n v="125"/>
  </r>
  <r>
    <x v="1"/>
    <x v="2"/>
    <s v="High"/>
    <n v="2992"/>
    <n v="10"/>
    <n v="20"/>
  </r>
  <r>
    <x v="0"/>
    <x v="2"/>
    <s v="High"/>
    <n v="1366"/>
    <n v="10"/>
    <n v="300"/>
  </r>
  <r>
    <x v="2"/>
    <x v="3"/>
    <s v="High"/>
    <n v="2805"/>
    <n v="120"/>
    <n v="20"/>
  </r>
  <r>
    <x v="3"/>
    <x v="3"/>
    <s v="High"/>
    <n v="655"/>
    <n v="120"/>
    <n v="15"/>
  </r>
  <r>
    <x v="3"/>
    <x v="3"/>
    <s v="High"/>
    <n v="344"/>
    <n v="120"/>
    <n v="350"/>
  </r>
  <r>
    <x v="0"/>
    <x v="3"/>
    <s v="High"/>
    <n v="1808"/>
    <n v="120"/>
    <n v="7"/>
  </r>
  <r>
    <x v="2"/>
    <x v="4"/>
    <s v="High"/>
    <n v="1734"/>
    <n v="250"/>
    <n v="12"/>
  </r>
  <r>
    <x v="3"/>
    <x v="4"/>
    <s v="High"/>
    <n v="554"/>
    <n v="250"/>
    <n v="125"/>
  </r>
  <r>
    <x v="0"/>
    <x v="4"/>
    <s v="High"/>
    <n v="2935"/>
    <n v="250"/>
    <n v="20"/>
  </r>
  <r>
    <x v="1"/>
    <x v="5"/>
    <s v="High"/>
    <n v="3165"/>
    <n v="260"/>
    <n v="125"/>
  </r>
  <r>
    <x v="3"/>
    <x v="5"/>
    <s v="High"/>
    <n v="2629"/>
    <n v="260"/>
    <n v="20"/>
  </r>
  <r>
    <x v="2"/>
    <x v="5"/>
    <s v="High"/>
    <n v="1433"/>
    <n v="260"/>
    <n v="125"/>
  </r>
  <r>
    <x v="3"/>
    <x v="5"/>
    <s v="High"/>
    <n v="947"/>
    <n v="260"/>
    <n v="125"/>
  </r>
  <r>
    <x v="3"/>
    <x v="5"/>
    <s v="High"/>
    <n v="344"/>
    <n v="260"/>
    <n v="350"/>
  </r>
  <r>
    <x v="3"/>
    <x v="5"/>
    <s v="High"/>
    <n v="2157"/>
    <n v="260"/>
    <n v="15"/>
  </r>
  <r>
    <x v="4"/>
    <x v="2"/>
    <s v="High"/>
    <n v="380"/>
    <n v="10"/>
    <n v="7"/>
  </r>
  <r>
    <x v="3"/>
    <x v="0"/>
    <s v="High"/>
    <n v="886"/>
    <n v="3"/>
    <n v="350"/>
  </r>
  <r>
    <x v="0"/>
    <x v="0"/>
    <s v="High"/>
    <n v="2416"/>
    <n v="3"/>
    <n v="125"/>
  </r>
  <r>
    <x v="3"/>
    <x v="0"/>
    <s v="High"/>
    <n v="2156"/>
    <n v="3"/>
    <n v="125"/>
  </r>
  <r>
    <x v="0"/>
    <x v="0"/>
    <s v="High"/>
    <n v="2689"/>
    <n v="3"/>
    <n v="15"/>
  </r>
  <r>
    <x v="4"/>
    <x v="1"/>
    <s v="High"/>
    <n v="677"/>
    <n v="5"/>
    <n v="15"/>
  </r>
  <r>
    <x v="2"/>
    <x v="1"/>
    <s v="High"/>
    <n v="1773"/>
    <n v="5"/>
    <n v="300"/>
  </r>
  <r>
    <x v="3"/>
    <x v="1"/>
    <s v="High"/>
    <n v="2420"/>
    <n v="5"/>
    <n v="7"/>
  </r>
  <r>
    <x v="0"/>
    <x v="1"/>
    <s v="High"/>
    <n v="2734"/>
    <n v="5"/>
    <n v="7"/>
  </r>
  <r>
    <x v="3"/>
    <x v="1"/>
    <s v="High"/>
    <n v="1715"/>
    <n v="5"/>
    <n v="20"/>
  </r>
  <r>
    <x v="2"/>
    <x v="1"/>
    <s v="High"/>
    <n v="1186"/>
    <n v="5"/>
    <n v="300"/>
  </r>
  <r>
    <x v="4"/>
    <x v="2"/>
    <s v="High"/>
    <n v="3495"/>
    <n v="10"/>
    <n v="300"/>
  </r>
  <r>
    <x v="3"/>
    <x v="2"/>
    <s v="High"/>
    <n v="886"/>
    <n v="10"/>
    <n v="350"/>
  </r>
  <r>
    <x v="3"/>
    <x v="2"/>
    <s v="High"/>
    <n v="2156"/>
    <n v="10"/>
    <n v="125"/>
  </r>
  <r>
    <x v="3"/>
    <x v="2"/>
    <s v="High"/>
    <n v="905"/>
    <n v="10"/>
    <n v="20"/>
  </r>
  <r>
    <x v="3"/>
    <x v="2"/>
    <s v="High"/>
    <n v="1715"/>
    <n v="10"/>
    <n v="20"/>
  </r>
  <r>
    <x v="2"/>
    <x v="2"/>
    <s v="High"/>
    <n v="1594"/>
    <n v="10"/>
    <n v="350"/>
  </r>
  <r>
    <x v="1"/>
    <x v="2"/>
    <s v="High"/>
    <n v="1359"/>
    <n v="10"/>
    <n v="300"/>
  </r>
  <r>
    <x v="3"/>
    <x v="2"/>
    <s v="High"/>
    <n v="2150"/>
    <n v="10"/>
    <n v="300"/>
  </r>
  <r>
    <x v="3"/>
    <x v="2"/>
    <s v="High"/>
    <n v="1197"/>
    <n v="10"/>
    <n v="350"/>
  </r>
  <r>
    <x v="3"/>
    <x v="2"/>
    <s v="High"/>
    <n v="380"/>
    <n v="10"/>
    <n v="15"/>
  </r>
  <r>
    <x v="3"/>
    <x v="2"/>
    <s v="High"/>
    <n v="1233"/>
    <n v="10"/>
    <n v="20"/>
  </r>
  <r>
    <x v="3"/>
    <x v="3"/>
    <s v="High"/>
    <n v="1395"/>
    <n v="120"/>
    <n v="350"/>
  </r>
  <r>
    <x v="4"/>
    <x v="3"/>
    <s v="High"/>
    <n v="986"/>
    <n v="120"/>
    <n v="350"/>
  </r>
  <r>
    <x v="3"/>
    <x v="3"/>
    <s v="High"/>
    <n v="905"/>
    <n v="120"/>
    <n v="20"/>
  </r>
  <r>
    <x v="0"/>
    <x v="4"/>
    <s v="High"/>
    <n v="2109"/>
    <n v="250"/>
    <n v="12"/>
  </r>
  <r>
    <x v="2"/>
    <x v="4"/>
    <s v="High"/>
    <n v="3874.5"/>
    <n v="250"/>
    <n v="15"/>
  </r>
  <r>
    <x v="0"/>
    <x v="4"/>
    <s v="High"/>
    <n v="623"/>
    <n v="250"/>
    <n v="350"/>
  </r>
  <r>
    <x v="4"/>
    <x v="4"/>
    <s v="High"/>
    <n v="986"/>
    <n v="250"/>
    <n v="350"/>
  </r>
  <r>
    <x v="4"/>
    <x v="4"/>
    <s v="High"/>
    <n v="2387"/>
    <n v="250"/>
    <n v="125"/>
  </r>
  <r>
    <x v="3"/>
    <x v="4"/>
    <s v="High"/>
    <n v="1233"/>
    <n v="250"/>
    <n v="20"/>
  </r>
  <r>
    <x v="4"/>
    <x v="5"/>
    <s v="High"/>
    <n v="270"/>
    <n v="260"/>
    <n v="350"/>
  </r>
  <r>
    <x v="2"/>
    <x v="5"/>
    <s v="High"/>
    <n v="3421.5"/>
    <n v="260"/>
    <n v="7"/>
  </r>
  <r>
    <x v="0"/>
    <x v="5"/>
    <s v="High"/>
    <n v="2734"/>
    <n v="260"/>
    <n v="7"/>
  </r>
  <r>
    <x v="4"/>
    <x v="5"/>
    <s v="High"/>
    <n v="2548"/>
    <n v="260"/>
    <n v="15"/>
  </r>
  <r>
    <x v="2"/>
    <x v="0"/>
    <s v="High"/>
    <n v="2521.5"/>
    <n v="3"/>
    <n v="20"/>
  </r>
  <r>
    <x v="3"/>
    <x v="1"/>
    <s v="High"/>
    <n v="2661"/>
    <n v="5"/>
    <n v="12"/>
  </r>
  <r>
    <x v="1"/>
    <x v="2"/>
    <s v="High"/>
    <n v="1531"/>
    <n v="10"/>
    <n v="20"/>
  </r>
  <r>
    <x v="2"/>
    <x v="4"/>
    <s v="High"/>
    <n v="1491"/>
    <n v="250"/>
    <n v="7"/>
  </r>
  <r>
    <x v="1"/>
    <x v="4"/>
    <s v="High"/>
    <n v="1531"/>
    <n v="250"/>
    <n v="20"/>
  </r>
  <r>
    <x v="0"/>
    <x v="5"/>
    <s v="High"/>
    <n v="2761"/>
    <n v="260"/>
    <n v="12"/>
  </r>
  <r>
    <x v="4"/>
    <x v="0"/>
    <s v="High"/>
    <n v="2567"/>
    <n v="3"/>
    <n v="15"/>
  </r>
  <r>
    <x v="4"/>
    <x v="4"/>
    <s v="High"/>
    <n v="2567"/>
    <n v="250"/>
    <n v="15"/>
  </r>
  <r>
    <x v="0"/>
    <x v="0"/>
    <s v="High"/>
    <n v="923"/>
    <n v="3"/>
    <n v="350"/>
  </r>
  <r>
    <x v="2"/>
    <x v="0"/>
    <s v="High"/>
    <n v="1790"/>
    <n v="3"/>
    <n v="350"/>
  </r>
  <r>
    <x v="1"/>
    <x v="0"/>
    <s v="High"/>
    <n v="442"/>
    <n v="3"/>
    <n v="20"/>
  </r>
  <r>
    <x v="4"/>
    <x v="1"/>
    <s v="High"/>
    <n v="982.5"/>
    <n v="5"/>
    <n v="350"/>
  </r>
  <r>
    <x v="4"/>
    <x v="1"/>
    <s v="High"/>
    <n v="1298"/>
    <n v="5"/>
    <n v="7"/>
  </r>
  <r>
    <x v="3"/>
    <x v="1"/>
    <s v="High"/>
    <n v="604"/>
    <n v="5"/>
    <n v="12"/>
  </r>
  <r>
    <x v="3"/>
    <x v="1"/>
    <s v="High"/>
    <n v="2255"/>
    <n v="5"/>
    <n v="20"/>
  </r>
  <r>
    <x v="0"/>
    <x v="1"/>
    <s v="High"/>
    <n v="1249"/>
    <n v="5"/>
    <n v="20"/>
  </r>
  <r>
    <x v="4"/>
    <x v="2"/>
    <s v="High"/>
    <n v="1438.5"/>
    <n v="10"/>
    <n v="7"/>
  </r>
  <r>
    <x v="1"/>
    <x v="2"/>
    <s v="High"/>
    <n v="807"/>
    <n v="10"/>
    <n v="300"/>
  </r>
  <r>
    <x v="4"/>
    <x v="2"/>
    <s v="High"/>
    <n v="2641"/>
    <n v="10"/>
    <n v="20"/>
  </r>
  <r>
    <x v="1"/>
    <x v="2"/>
    <s v="High"/>
    <n v="2708"/>
    <n v="10"/>
    <n v="20"/>
  </r>
  <r>
    <x v="0"/>
    <x v="2"/>
    <s v="High"/>
    <n v="2632"/>
    <n v="10"/>
    <n v="350"/>
  </r>
  <r>
    <x v="0"/>
    <x v="2"/>
    <s v="High"/>
    <n v="1583"/>
    <n v="10"/>
    <n v="125"/>
  </r>
  <r>
    <x v="3"/>
    <x v="2"/>
    <s v="High"/>
    <n v="571"/>
    <n v="10"/>
    <n v="12"/>
  </r>
  <r>
    <x v="2"/>
    <x v="2"/>
    <s v="High"/>
    <n v="2696"/>
    <n v="10"/>
    <n v="7"/>
  </r>
  <r>
    <x v="0"/>
    <x v="2"/>
    <s v="High"/>
    <n v="1565"/>
    <n v="10"/>
    <n v="15"/>
  </r>
  <r>
    <x v="0"/>
    <x v="2"/>
    <s v="High"/>
    <n v="1249"/>
    <n v="10"/>
    <n v="20"/>
  </r>
  <r>
    <x v="1"/>
    <x v="2"/>
    <s v="High"/>
    <n v="357"/>
    <n v="10"/>
    <n v="350"/>
  </r>
  <r>
    <x v="1"/>
    <x v="2"/>
    <s v="High"/>
    <n v="1013"/>
    <n v="10"/>
    <n v="12"/>
  </r>
  <r>
    <x v="2"/>
    <x v="3"/>
    <s v="High"/>
    <n v="3997.5"/>
    <n v="120"/>
    <n v="15"/>
  </r>
  <r>
    <x v="0"/>
    <x v="3"/>
    <s v="High"/>
    <n v="2632"/>
    <n v="120"/>
    <n v="350"/>
  </r>
  <r>
    <x v="2"/>
    <x v="3"/>
    <s v="High"/>
    <n v="1190"/>
    <n v="120"/>
    <n v="7"/>
  </r>
  <r>
    <x v="3"/>
    <x v="3"/>
    <s v="High"/>
    <n v="604"/>
    <n v="120"/>
    <n v="12"/>
  </r>
  <r>
    <x v="1"/>
    <x v="3"/>
    <s v="High"/>
    <n v="660"/>
    <n v="120"/>
    <n v="15"/>
  </r>
  <r>
    <x v="3"/>
    <x v="3"/>
    <s v="High"/>
    <n v="410"/>
    <n v="120"/>
    <n v="12"/>
  </r>
  <r>
    <x v="3"/>
    <x v="3"/>
    <s v="High"/>
    <n v="2605"/>
    <n v="120"/>
    <n v="300"/>
  </r>
  <r>
    <x v="1"/>
    <x v="3"/>
    <s v="High"/>
    <n v="1013"/>
    <n v="120"/>
    <n v="12"/>
  </r>
  <r>
    <x v="0"/>
    <x v="4"/>
    <s v="High"/>
    <n v="1583"/>
    <n v="250"/>
    <n v="125"/>
  </r>
  <r>
    <x v="0"/>
    <x v="4"/>
    <s v="High"/>
    <n v="1565"/>
    <n v="250"/>
    <n v="15"/>
  </r>
  <r>
    <x v="0"/>
    <x v="5"/>
    <s v="High"/>
    <n v="1659"/>
    <n v="260"/>
    <n v="125"/>
  </r>
  <r>
    <x v="2"/>
    <x v="5"/>
    <s v="High"/>
    <n v="1190"/>
    <n v="260"/>
    <n v="7"/>
  </r>
  <r>
    <x v="3"/>
    <x v="5"/>
    <s v="High"/>
    <n v="410"/>
    <n v="260"/>
    <n v="12"/>
  </r>
  <r>
    <x v="1"/>
    <x v="5"/>
    <s v="High"/>
    <n v="1770"/>
    <n v="260"/>
    <n v="12"/>
  </r>
  <r>
    <x v="3"/>
    <x v="0"/>
    <s v="High"/>
    <n v="2579"/>
    <n v="3"/>
    <n v="20"/>
  </r>
  <r>
    <x v="4"/>
    <x v="0"/>
    <s v="High"/>
    <n v="1743"/>
    <n v="3"/>
    <n v="20"/>
  </r>
  <r>
    <x v="4"/>
    <x v="0"/>
    <s v="High"/>
    <n v="2996"/>
    <n v="3"/>
    <n v="7"/>
  </r>
  <r>
    <x v="1"/>
    <x v="0"/>
    <s v="High"/>
    <n v="280"/>
    <n v="3"/>
    <n v="7"/>
  </r>
  <r>
    <x v="2"/>
    <x v="1"/>
    <s v="High"/>
    <n v="293"/>
    <n v="5"/>
    <n v="7"/>
  </r>
  <r>
    <x v="4"/>
    <x v="1"/>
    <s v="High"/>
    <n v="2996"/>
    <n v="5"/>
    <n v="7"/>
  </r>
  <r>
    <x v="1"/>
    <x v="2"/>
    <s v="High"/>
    <n v="278"/>
    <n v="10"/>
    <n v="15"/>
  </r>
  <r>
    <x v="0"/>
    <x v="2"/>
    <s v="High"/>
    <n v="2428"/>
    <n v="10"/>
    <n v="20"/>
  </r>
  <r>
    <x v="4"/>
    <x v="2"/>
    <s v="High"/>
    <n v="1767"/>
    <n v="10"/>
    <n v="15"/>
  </r>
  <r>
    <x v="2"/>
    <x v="2"/>
    <s v="High"/>
    <n v="1393"/>
    <n v="10"/>
    <n v="12"/>
  </r>
  <r>
    <x v="1"/>
    <x v="4"/>
    <s v="High"/>
    <n v="280"/>
    <n v="250"/>
    <n v="7"/>
  </r>
  <r>
    <x v="2"/>
    <x v="5"/>
    <s v="High"/>
    <n v="1393"/>
    <n v="260"/>
    <n v="12"/>
  </r>
  <r>
    <x v="4"/>
    <x v="5"/>
    <s v="High"/>
    <n v="2015"/>
    <n v="260"/>
    <n v="12"/>
  </r>
  <r>
    <x v="3"/>
    <x v="0"/>
    <s v="High"/>
    <n v="801"/>
    <n v="3"/>
    <n v="300"/>
  </r>
  <r>
    <x v="2"/>
    <x v="0"/>
    <s v="High"/>
    <n v="1023"/>
    <n v="3"/>
    <n v="125"/>
  </r>
  <r>
    <x v="0"/>
    <x v="0"/>
    <s v="High"/>
    <n v="1496"/>
    <n v="3"/>
    <n v="300"/>
  </r>
  <r>
    <x v="4"/>
    <x v="0"/>
    <s v="High"/>
    <n v="1010"/>
    <n v="3"/>
    <n v="300"/>
  </r>
  <r>
    <x v="1"/>
    <x v="0"/>
    <s v="High"/>
    <n v="1513"/>
    <n v="3"/>
    <n v="15"/>
  </r>
  <r>
    <x v="0"/>
    <x v="0"/>
    <s v="High"/>
    <n v="2300"/>
    <n v="3"/>
    <n v="15"/>
  </r>
  <r>
    <x v="3"/>
    <x v="0"/>
    <s v="High"/>
    <n v="2821"/>
    <n v="3"/>
    <n v="125"/>
  </r>
  <r>
    <x v="0"/>
    <x v="1"/>
    <s v="High"/>
    <n v="2227.5"/>
    <n v="5"/>
    <n v="350"/>
  </r>
  <r>
    <x v="1"/>
    <x v="1"/>
    <s v="High"/>
    <n v="1199"/>
    <n v="5"/>
    <n v="350"/>
  </r>
  <r>
    <x v="0"/>
    <x v="1"/>
    <s v="High"/>
    <n v="200"/>
    <n v="5"/>
    <n v="350"/>
  </r>
  <r>
    <x v="0"/>
    <x v="1"/>
    <s v="High"/>
    <n v="388"/>
    <n v="5"/>
    <n v="7"/>
  </r>
  <r>
    <x v="3"/>
    <x v="1"/>
    <s v="High"/>
    <n v="1727"/>
    <n v="5"/>
    <n v="7"/>
  </r>
  <r>
    <x v="0"/>
    <x v="1"/>
    <s v="High"/>
    <n v="2300"/>
    <n v="5"/>
    <n v="15"/>
  </r>
  <r>
    <x v="3"/>
    <x v="2"/>
    <s v="High"/>
    <n v="260"/>
    <n v="10"/>
    <n v="20"/>
  </r>
  <r>
    <x v="0"/>
    <x v="2"/>
    <s v="High"/>
    <n v="2470"/>
    <n v="10"/>
    <n v="15"/>
  </r>
  <r>
    <x v="0"/>
    <x v="2"/>
    <s v="High"/>
    <n v="1743"/>
    <n v="10"/>
    <n v="15"/>
  </r>
  <r>
    <x v="4"/>
    <x v="2"/>
    <s v="High"/>
    <n v="2914"/>
    <n v="10"/>
    <n v="12"/>
  </r>
  <r>
    <x v="2"/>
    <x v="2"/>
    <s v="High"/>
    <n v="1731"/>
    <n v="10"/>
    <n v="7"/>
  </r>
  <r>
    <x v="0"/>
    <x v="2"/>
    <s v="High"/>
    <n v="700"/>
    <n v="10"/>
    <n v="350"/>
  </r>
  <r>
    <x v="0"/>
    <x v="2"/>
    <s v="High"/>
    <n v="2222"/>
    <n v="10"/>
    <n v="12"/>
  </r>
  <r>
    <x v="4"/>
    <x v="2"/>
    <s v="High"/>
    <n v="1177"/>
    <n v="10"/>
    <n v="350"/>
  </r>
  <r>
    <x v="2"/>
    <x v="2"/>
    <s v="High"/>
    <n v="1922"/>
    <n v="10"/>
    <n v="350"/>
  </r>
  <r>
    <x v="3"/>
    <x v="3"/>
    <s v="High"/>
    <n v="1575"/>
    <n v="120"/>
    <n v="125"/>
  </r>
  <r>
    <x v="4"/>
    <x v="3"/>
    <s v="High"/>
    <n v="606"/>
    <n v="120"/>
    <n v="20"/>
  </r>
  <r>
    <x v="4"/>
    <x v="3"/>
    <s v="High"/>
    <n v="2460"/>
    <n v="120"/>
    <n v="300"/>
  </r>
  <r>
    <x v="0"/>
    <x v="3"/>
    <s v="High"/>
    <n v="269"/>
    <n v="120"/>
    <n v="300"/>
  </r>
  <r>
    <x v="1"/>
    <x v="3"/>
    <s v="High"/>
    <n v="2536"/>
    <n v="120"/>
    <n v="300"/>
  </r>
  <r>
    <x v="3"/>
    <x v="4"/>
    <s v="High"/>
    <n v="2903"/>
    <n v="250"/>
    <n v="7"/>
  </r>
  <r>
    <x v="4"/>
    <x v="4"/>
    <s v="High"/>
    <n v="2541"/>
    <n v="250"/>
    <n v="300"/>
  </r>
  <r>
    <x v="0"/>
    <x v="4"/>
    <s v="High"/>
    <n v="269"/>
    <n v="250"/>
    <n v="300"/>
  </r>
  <r>
    <x v="0"/>
    <x v="4"/>
    <s v="High"/>
    <n v="1496"/>
    <n v="250"/>
    <n v="300"/>
  </r>
  <r>
    <x v="4"/>
    <x v="4"/>
    <s v="High"/>
    <n v="1010"/>
    <n v="250"/>
    <n v="300"/>
  </r>
  <r>
    <x v="2"/>
    <x v="4"/>
    <s v="High"/>
    <n v="1281"/>
    <n v="250"/>
    <n v="350"/>
  </r>
  <r>
    <x v="0"/>
    <x v="5"/>
    <s v="High"/>
    <n v="888"/>
    <n v="260"/>
    <n v="300"/>
  </r>
  <r>
    <x v="4"/>
    <x v="5"/>
    <s v="High"/>
    <n v="2844"/>
    <n v="260"/>
    <n v="125"/>
  </r>
  <r>
    <x v="2"/>
    <x v="5"/>
    <s v="High"/>
    <n v="2475"/>
    <n v="260"/>
    <n v="12"/>
  </r>
  <r>
    <x v="0"/>
    <x v="5"/>
    <s v="High"/>
    <n v="1743"/>
    <n v="260"/>
    <n v="15"/>
  </r>
  <r>
    <x v="4"/>
    <x v="5"/>
    <s v="High"/>
    <n v="2914"/>
    <n v="260"/>
    <n v="12"/>
  </r>
  <r>
    <x v="2"/>
    <x v="5"/>
    <s v="High"/>
    <n v="1731"/>
    <n v="260"/>
    <n v="7"/>
  </r>
  <r>
    <x v="3"/>
    <x v="5"/>
    <s v="High"/>
    <n v="1727"/>
    <n v="260"/>
    <n v="7"/>
  </r>
  <r>
    <x v="3"/>
    <x v="5"/>
    <s v="High"/>
    <n v="1870"/>
    <n v="260"/>
    <n v="15"/>
  </r>
  <r>
    <x v="2"/>
    <x v="0"/>
    <s v="High"/>
    <n v="1174"/>
    <n v="3"/>
    <n v="125"/>
  </r>
  <r>
    <x v="1"/>
    <x v="0"/>
    <s v="High"/>
    <n v="2767"/>
    <n v="3"/>
    <n v="125"/>
  </r>
  <r>
    <x v="1"/>
    <x v="0"/>
    <s v="High"/>
    <n v="1085"/>
    <n v="3"/>
    <n v="125"/>
  </r>
  <r>
    <x v="3"/>
    <x v="1"/>
    <s v="High"/>
    <n v="546"/>
    <n v="5"/>
    <n v="300"/>
  </r>
  <r>
    <x v="1"/>
    <x v="2"/>
    <s v="High"/>
    <n v="1158"/>
    <n v="10"/>
    <n v="20"/>
  </r>
  <r>
    <x v="0"/>
    <x v="2"/>
    <s v="High"/>
    <n v="1614"/>
    <n v="10"/>
    <n v="15"/>
  </r>
  <r>
    <x v="3"/>
    <x v="2"/>
    <s v="High"/>
    <n v="2535"/>
    <n v="10"/>
    <n v="7"/>
  </r>
  <r>
    <x v="3"/>
    <x v="2"/>
    <s v="High"/>
    <n v="2851"/>
    <n v="10"/>
    <n v="350"/>
  </r>
  <r>
    <x v="0"/>
    <x v="2"/>
    <s v="High"/>
    <n v="2559"/>
    <n v="10"/>
    <n v="15"/>
  </r>
  <r>
    <x v="4"/>
    <x v="2"/>
    <s v="High"/>
    <n v="267"/>
    <n v="10"/>
    <n v="20"/>
  </r>
  <r>
    <x v="1"/>
    <x v="2"/>
    <s v="High"/>
    <n v="1085"/>
    <n v="10"/>
    <n v="125"/>
  </r>
  <r>
    <x v="1"/>
    <x v="2"/>
    <s v="High"/>
    <n v="1175"/>
    <n v="10"/>
    <n v="15"/>
  </r>
  <r>
    <x v="4"/>
    <x v="2"/>
    <s v="High"/>
    <n v="2007"/>
    <n v="10"/>
    <n v="350"/>
  </r>
  <r>
    <x v="3"/>
    <x v="2"/>
    <s v="High"/>
    <n v="2151"/>
    <n v="10"/>
    <n v="350"/>
  </r>
  <r>
    <x v="4"/>
    <x v="2"/>
    <s v="High"/>
    <n v="914"/>
    <n v="10"/>
    <n v="12"/>
  </r>
  <r>
    <x v="2"/>
    <x v="2"/>
    <s v="High"/>
    <n v="293"/>
    <n v="10"/>
    <n v="20"/>
  </r>
  <r>
    <x v="3"/>
    <x v="3"/>
    <s v="High"/>
    <n v="500"/>
    <n v="120"/>
    <n v="12"/>
  </r>
  <r>
    <x v="2"/>
    <x v="3"/>
    <s v="High"/>
    <n v="2826"/>
    <n v="120"/>
    <n v="15"/>
  </r>
  <r>
    <x v="2"/>
    <x v="3"/>
    <s v="High"/>
    <n v="663"/>
    <n v="120"/>
    <n v="125"/>
  </r>
  <r>
    <x v="4"/>
    <x v="3"/>
    <s v="High"/>
    <n v="2574"/>
    <n v="120"/>
    <n v="300"/>
  </r>
  <r>
    <x v="4"/>
    <x v="3"/>
    <s v="High"/>
    <n v="2438"/>
    <n v="120"/>
    <n v="125"/>
  </r>
  <r>
    <x v="4"/>
    <x v="3"/>
    <s v="High"/>
    <n v="914"/>
    <n v="120"/>
    <n v="12"/>
  </r>
  <r>
    <x v="0"/>
    <x v="4"/>
    <s v="High"/>
    <n v="865.5"/>
    <n v="250"/>
    <n v="20"/>
  </r>
  <r>
    <x v="1"/>
    <x v="4"/>
    <s v="High"/>
    <n v="492"/>
    <n v="250"/>
    <n v="15"/>
  </r>
  <r>
    <x v="4"/>
    <x v="4"/>
    <s v="High"/>
    <n v="267"/>
    <n v="250"/>
    <n v="20"/>
  </r>
  <r>
    <x v="1"/>
    <x v="4"/>
    <s v="High"/>
    <n v="1175"/>
    <n v="250"/>
    <n v="15"/>
  </r>
  <r>
    <x v="0"/>
    <x v="4"/>
    <s v="High"/>
    <n v="2954"/>
    <n v="250"/>
    <n v="125"/>
  </r>
  <r>
    <x v="1"/>
    <x v="4"/>
    <s v="High"/>
    <n v="552"/>
    <n v="250"/>
    <n v="125"/>
  </r>
  <r>
    <x v="2"/>
    <x v="4"/>
    <s v="High"/>
    <n v="293"/>
    <n v="250"/>
    <n v="20"/>
  </r>
  <r>
    <x v="2"/>
    <x v="5"/>
    <s v="High"/>
    <n v="2475"/>
    <n v="260"/>
    <n v="300"/>
  </r>
  <r>
    <x v="3"/>
    <x v="5"/>
    <s v="High"/>
    <n v="546"/>
    <n v="260"/>
    <n v="300"/>
  </r>
  <r>
    <x v="3"/>
    <x v="1"/>
    <s v="High"/>
    <n v="1368"/>
    <n v="5"/>
    <n v="7"/>
  </r>
  <r>
    <x v="0"/>
    <x v="2"/>
    <s v="High"/>
    <n v="723"/>
    <n v="10"/>
    <n v="7"/>
  </r>
  <r>
    <x v="4"/>
    <x v="4"/>
    <s v="High"/>
    <n v="1806"/>
    <n v="250"/>
    <n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None"/>
    <x v="0"/>
    <n v="3"/>
    <n v="20"/>
    <n v="32370"/>
    <x v="0"/>
    <x v="0"/>
    <n v="16185"/>
    <n v="16185"/>
  </r>
  <r>
    <x v="0"/>
    <s v="None"/>
    <x v="1"/>
    <n v="3"/>
    <n v="20"/>
    <n v="26420"/>
    <x v="0"/>
    <x v="1"/>
    <n v="13210"/>
    <n v="13210"/>
  </r>
  <r>
    <x v="0"/>
    <s v="None"/>
    <x v="2"/>
    <n v="3"/>
    <n v="15"/>
    <n v="32670"/>
    <x v="0"/>
    <x v="2"/>
    <n v="21780"/>
    <n v="10890"/>
  </r>
  <r>
    <x v="0"/>
    <s v="None"/>
    <x v="3"/>
    <n v="3"/>
    <n v="15"/>
    <n v="13320"/>
    <x v="0"/>
    <x v="3"/>
    <n v="8880"/>
    <n v="4440"/>
  </r>
  <r>
    <x v="0"/>
    <s v="None"/>
    <x v="4"/>
    <n v="3"/>
    <n v="15"/>
    <n v="37050"/>
    <x v="0"/>
    <x v="4"/>
    <n v="24700"/>
    <n v="12350"/>
  </r>
  <r>
    <x v="0"/>
    <s v="None"/>
    <x v="5"/>
    <n v="3"/>
    <n v="350"/>
    <n v="529550"/>
    <x v="0"/>
    <x v="5"/>
    <n v="393380"/>
    <n v="136170"/>
  </r>
  <r>
    <x v="1"/>
    <s v="None"/>
    <x v="6"/>
    <n v="5"/>
    <n v="15"/>
    <n v="13815"/>
    <x v="0"/>
    <x v="6"/>
    <n v="9210"/>
    <n v="4605"/>
  </r>
  <r>
    <x v="1"/>
    <s v="None"/>
    <x v="7"/>
    <n v="5"/>
    <n v="12"/>
    <n v="30216"/>
    <x v="0"/>
    <x v="7"/>
    <n v="7554"/>
    <n v="22662"/>
  </r>
  <r>
    <x v="1"/>
    <s v="None"/>
    <x v="8"/>
    <n v="5"/>
    <n v="20"/>
    <n v="37980"/>
    <x v="0"/>
    <x v="8"/>
    <n v="18990"/>
    <n v="18990"/>
  </r>
  <r>
    <x v="1"/>
    <s v="None"/>
    <x v="9"/>
    <n v="5"/>
    <n v="12"/>
    <n v="18540"/>
    <x v="0"/>
    <x v="9"/>
    <n v="4635"/>
    <n v="13905"/>
  </r>
  <r>
    <x v="1"/>
    <s v="None"/>
    <x v="4"/>
    <n v="5"/>
    <n v="15"/>
    <n v="37050"/>
    <x v="0"/>
    <x v="4"/>
    <n v="24700"/>
    <n v="12350"/>
  </r>
  <r>
    <x v="1"/>
    <s v="None"/>
    <x v="10"/>
    <n v="5"/>
    <n v="125"/>
    <n v="333187.5"/>
    <x v="0"/>
    <x v="10"/>
    <n v="319860"/>
    <n v="13327.5"/>
  </r>
  <r>
    <x v="1"/>
    <s v="None"/>
    <x v="11"/>
    <n v="5"/>
    <n v="300"/>
    <n v="287400"/>
    <x v="0"/>
    <x v="11"/>
    <n v="239500"/>
    <n v="47900"/>
  </r>
  <r>
    <x v="1"/>
    <s v="None"/>
    <x v="12"/>
    <n v="5"/>
    <n v="7"/>
    <n v="15022"/>
    <x v="0"/>
    <x v="12"/>
    <n v="10730"/>
    <n v="4292"/>
  </r>
  <r>
    <x v="1"/>
    <s v="None"/>
    <x v="13"/>
    <n v="5"/>
    <n v="125"/>
    <n v="43125"/>
    <x v="0"/>
    <x v="13"/>
    <n v="41400"/>
    <n v="1725"/>
  </r>
  <r>
    <x v="1"/>
    <s v="None"/>
    <x v="14"/>
    <n v="5"/>
    <n v="15"/>
    <n v="9225"/>
    <x v="0"/>
    <x v="14"/>
    <n v="6150"/>
    <n v="3075"/>
  </r>
  <r>
    <x v="2"/>
    <s v="None"/>
    <x v="15"/>
    <n v="10"/>
    <n v="20"/>
    <n v="5840"/>
    <x v="0"/>
    <x v="15"/>
    <n v="2920"/>
    <n v="2920"/>
  </r>
  <r>
    <x v="2"/>
    <s v="None"/>
    <x v="16"/>
    <n v="10"/>
    <n v="15"/>
    <n v="14610"/>
    <x v="0"/>
    <x v="16"/>
    <n v="9740"/>
    <n v="4870"/>
  </r>
  <r>
    <x v="2"/>
    <s v="None"/>
    <x v="7"/>
    <n v="10"/>
    <n v="12"/>
    <n v="30216"/>
    <x v="0"/>
    <x v="7"/>
    <n v="7554"/>
    <n v="22662"/>
  </r>
  <r>
    <x v="2"/>
    <s v="None"/>
    <x v="17"/>
    <n v="10"/>
    <n v="350"/>
    <n v="352100"/>
    <x v="0"/>
    <x v="17"/>
    <n v="261560"/>
    <n v="90540"/>
  </r>
  <r>
    <x v="2"/>
    <s v="None"/>
    <x v="18"/>
    <n v="10"/>
    <n v="12"/>
    <n v="4404"/>
    <x v="0"/>
    <x v="18"/>
    <n v="1101"/>
    <n v="3303"/>
  </r>
  <r>
    <x v="2"/>
    <s v="None"/>
    <x v="19"/>
    <n v="10"/>
    <n v="7"/>
    <n v="6181"/>
    <x v="0"/>
    <x v="19"/>
    <n v="4415"/>
    <n v="1766"/>
  </r>
  <r>
    <x v="2"/>
    <s v="None"/>
    <x v="20"/>
    <n v="10"/>
    <n v="15"/>
    <n v="8235"/>
    <x v="0"/>
    <x v="20"/>
    <n v="5490"/>
    <n v="2745"/>
  </r>
  <r>
    <x v="2"/>
    <s v="None"/>
    <x v="21"/>
    <n v="10"/>
    <n v="300"/>
    <n v="236400"/>
    <x v="0"/>
    <x v="21"/>
    <n v="197000"/>
    <n v="39400"/>
  </r>
  <r>
    <x v="2"/>
    <s v="None"/>
    <x v="22"/>
    <n v="10"/>
    <n v="15"/>
    <n v="37080"/>
    <x v="0"/>
    <x v="22"/>
    <n v="24720"/>
    <n v="12360"/>
  </r>
  <r>
    <x v="2"/>
    <s v="None"/>
    <x v="23"/>
    <n v="10"/>
    <n v="7"/>
    <n v="8001"/>
    <x v="0"/>
    <x v="23"/>
    <n v="5715"/>
    <n v="2286"/>
  </r>
  <r>
    <x v="2"/>
    <s v="None"/>
    <x v="24"/>
    <n v="10"/>
    <n v="350"/>
    <n v="603750"/>
    <x v="0"/>
    <x v="24"/>
    <n v="448500"/>
    <n v="155250"/>
  </r>
  <r>
    <x v="2"/>
    <s v="None"/>
    <x v="25"/>
    <n v="10"/>
    <n v="12"/>
    <n v="10944"/>
    <x v="0"/>
    <x v="25"/>
    <n v="2736"/>
    <n v="8208"/>
  </r>
  <r>
    <x v="2"/>
    <s v="None"/>
    <x v="26"/>
    <n v="10"/>
    <n v="15"/>
    <n v="32280"/>
    <x v="0"/>
    <x v="26"/>
    <n v="21520"/>
    <n v="10760"/>
  </r>
  <r>
    <x v="2"/>
    <s v="None"/>
    <x v="27"/>
    <n v="10"/>
    <n v="20"/>
    <n v="36340"/>
    <x v="0"/>
    <x v="27"/>
    <n v="18170"/>
    <n v="18170"/>
  </r>
  <r>
    <x v="2"/>
    <s v="None"/>
    <x v="5"/>
    <n v="10"/>
    <n v="350"/>
    <n v="529550"/>
    <x v="0"/>
    <x v="5"/>
    <n v="393380"/>
    <n v="136170"/>
  </r>
  <r>
    <x v="3"/>
    <s v="None"/>
    <x v="28"/>
    <n v="120"/>
    <n v="7"/>
    <n v="10451"/>
    <x v="0"/>
    <x v="28"/>
    <n v="7465"/>
    <n v="2986"/>
  </r>
  <r>
    <x v="3"/>
    <s v="None"/>
    <x v="29"/>
    <n v="120"/>
    <n v="125"/>
    <n v="225500"/>
    <x v="0"/>
    <x v="29"/>
    <n v="216480"/>
    <n v="9020"/>
  </r>
  <r>
    <x v="3"/>
    <s v="None"/>
    <x v="30"/>
    <n v="120"/>
    <n v="12"/>
    <n v="25932"/>
    <x v="0"/>
    <x v="30"/>
    <n v="6483"/>
    <n v="19449"/>
  </r>
  <r>
    <x v="3"/>
    <s v="None"/>
    <x v="17"/>
    <n v="120"/>
    <n v="350"/>
    <n v="352100"/>
    <x v="0"/>
    <x v="17"/>
    <n v="261560"/>
    <n v="90540"/>
  </r>
  <r>
    <x v="3"/>
    <s v="None"/>
    <x v="9"/>
    <n v="120"/>
    <n v="12"/>
    <n v="18540"/>
    <x v="0"/>
    <x v="9"/>
    <n v="4635"/>
    <n v="13905"/>
  </r>
  <r>
    <x v="3"/>
    <s v="None"/>
    <x v="31"/>
    <n v="120"/>
    <n v="125"/>
    <n v="352625"/>
    <x v="0"/>
    <x v="31"/>
    <n v="338520"/>
    <n v="14105"/>
  </r>
  <r>
    <x v="3"/>
    <s v="None"/>
    <x v="13"/>
    <n v="120"/>
    <n v="125"/>
    <n v="43125"/>
    <x v="0"/>
    <x v="13"/>
    <n v="41400"/>
    <n v="1725"/>
  </r>
  <r>
    <x v="4"/>
    <s v="None"/>
    <x v="32"/>
    <n v="250"/>
    <n v="300"/>
    <n v="600300"/>
    <x v="0"/>
    <x v="32"/>
    <n v="500250"/>
    <n v="100050"/>
  </r>
  <r>
    <x v="4"/>
    <s v="None"/>
    <x v="33"/>
    <n v="250"/>
    <n v="12"/>
    <n v="34056"/>
    <x v="0"/>
    <x v="33"/>
    <n v="8514"/>
    <n v="25542"/>
  </r>
  <r>
    <x v="4"/>
    <s v="None"/>
    <x v="2"/>
    <n v="250"/>
    <n v="15"/>
    <n v="32670"/>
    <x v="0"/>
    <x v="2"/>
    <n v="21780"/>
    <n v="10890"/>
  </r>
  <r>
    <x v="4"/>
    <s v="None"/>
    <x v="3"/>
    <n v="250"/>
    <n v="15"/>
    <n v="13320"/>
    <x v="0"/>
    <x v="3"/>
    <n v="8880"/>
    <n v="4440"/>
  </r>
  <r>
    <x v="4"/>
    <s v="None"/>
    <x v="34"/>
    <n v="250"/>
    <n v="350"/>
    <n v="534450"/>
    <x v="0"/>
    <x v="34"/>
    <n v="397020"/>
    <n v="137430"/>
  </r>
  <r>
    <x v="4"/>
    <s v="None"/>
    <x v="35"/>
    <n v="250"/>
    <n v="300"/>
    <n v="645300"/>
    <x v="0"/>
    <x v="35"/>
    <n v="537750"/>
    <n v="107550"/>
  </r>
  <r>
    <x v="4"/>
    <s v="None"/>
    <x v="27"/>
    <n v="250"/>
    <n v="20"/>
    <n v="36340"/>
    <x v="0"/>
    <x v="27"/>
    <n v="18170"/>
    <n v="18170"/>
  </r>
  <r>
    <x v="5"/>
    <s v="None"/>
    <x v="36"/>
    <n v="260"/>
    <n v="350"/>
    <n v="962500"/>
    <x v="0"/>
    <x v="36"/>
    <n v="715000"/>
    <n v="247500"/>
  </r>
  <r>
    <x v="5"/>
    <s v="None"/>
    <x v="37"/>
    <n v="260"/>
    <n v="12"/>
    <n v="23436"/>
    <x v="0"/>
    <x v="37"/>
    <n v="5859"/>
    <n v="17577"/>
  </r>
  <r>
    <x v="5"/>
    <s v="None"/>
    <x v="38"/>
    <n v="260"/>
    <n v="125"/>
    <n v="527437.5"/>
    <x v="0"/>
    <x v="38"/>
    <n v="506340"/>
    <n v="21097.5"/>
  </r>
  <r>
    <x v="5"/>
    <s v="None"/>
    <x v="8"/>
    <n v="260"/>
    <n v="20"/>
    <n v="37980"/>
    <x v="0"/>
    <x v="8"/>
    <n v="18990"/>
    <n v="18990"/>
  </r>
  <r>
    <x v="5"/>
    <s v="None"/>
    <x v="39"/>
    <n v="260"/>
    <n v="7"/>
    <n v="11802"/>
    <x v="0"/>
    <x v="39"/>
    <n v="8430"/>
    <n v="3372"/>
  </r>
  <r>
    <x v="5"/>
    <s v="None"/>
    <x v="40"/>
    <n v="260"/>
    <n v="12"/>
    <n v="25692"/>
    <x v="0"/>
    <x v="40"/>
    <n v="6423"/>
    <n v="19269"/>
  </r>
  <r>
    <x v="5"/>
    <s v="None"/>
    <x v="23"/>
    <n v="260"/>
    <n v="7"/>
    <n v="8001"/>
    <x v="0"/>
    <x v="23"/>
    <n v="5715"/>
    <n v="2286"/>
  </r>
  <r>
    <x v="5"/>
    <s v="None"/>
    <x v="14"/>
    <n v="260"/>
    <n v="15"/>
    <n v="9225"/>
    <x v="0"/>
    <x v="14"/>
    <n v="6150"/>
    <n v="3075"/>
  </r>
  <r>
    <x v="2"/>
    <s v="Low"/>
    <x v="41"/>
    <n v="10"/>
    <n v="7"/>
    <n v="27615"/>
    <x v="1"/>
    <x v="41"/>
    <n v="19725"/>
    <n v="6509.25"/>
  </r>
  <r>
    <x v="2"/>
    <s v="Low"/>
    <x v="42"/>
    <n v="10"/>
    <n v="15"/>
    <n v="34440"/>
    <x v="2"/>
    <x v="42"/>
    <n v="22960"/>
    <n v="9758"/>
  </r>
  <r>
    <x v="2"/>
    <s v="Low"/>
    <x v="43"/>
    <n v="10"/>
    <n v="7"/>
    <n v="7210"/>
    <x v="3"/>
    <x v="43"/>
    <n v="5150"/>
    <n v="1699.5"/>
  </r>
  <r>
    <x v="3"/>
    <s v="Low"/>
    <x v="44"/>
    <n v="120"/>
    <n v="7"/>
    <n v="4473"/>
    <x v="4"/>
    <x v="44"/>
    <n v="3195"/>
    <n v="1054.3500000000004"/>
  </r>
  <r>
    <x v="4"/>
    <s v="Low"/>
    <x v="45"/>
    <n v="250"/>
    <n v="7"/>
    <n v="9282"/>
    <x v="5"/>
    <x v="45"/>
    <n v="6630"/>
    <n v="2187.8999999999996"/>
  </r>
  <r>
    <x v="0"/>
    <s v="Low"/>
    <x v="46"/>
    <n v="3"/>
    <n v="12"/>
    <n v="22296"/>
    <x v="6"/>
    <x v="46"/>
    <n v="5574"/>
    <n v="15607.2"/>
  </r>
  <r>
    <x v="0"/>
    <s v="Low"/>
    <x v="47"/>
    <n v="3"/>
    <n v="350"/>
    <n v="423500"/>
    <x v="7"/>
    <x v="47"/>
    <n v="314600"/>
    <n v="87725"/>
  </r>
  <r>
    <x v="0"/>
    <s v="Low"/>
    <x v="48"/>
    <n v="3"/>
    <n v="7"/>
    <n v="17703"/>
    <x v="8"/>
    <x v="48"/>
    <n v="12645"/>
    <n v="4172.8499999999985"/>
  </r>
  <r>
    <x v="0"/>
    <s v="Low"/>
    <x v="49"/>
    <n v="3"/>
    <n v="12"/>
    <n v="17340"/>
    <x v="9"/>
    <x v="49"/>
    <n v="4335"/>
    <n v="12138"/>
  </r>
  <r>
    <x v="0"/>
    <s v="Low"/>
    <x v="50"/>
    <n v="3"/>
    <n v="125"/>
    <n v="41250"/>
    <x v="10"/>
    <x v="50"/>
    <n v="39600"/>
    <n v="-412.5"/>
  </r>
  <r>
    <x v="0"/>
    <s v="Low"/>
    <x v="51"/>
    <n v="3"/>
    <n v="12"/>
    <n v="32052"/>
    <x v="11"/>
    <x v="51"/>
    <n v="8013"/>
    <n v="22436.400000000001"/>
  </r>
  <r>
    <x v="0"/>
    <s v="Low"/>
    <x v="52"/>
    <n v="3"/>
    <n v="12"/>
    <n v="9192"/>
    <x v="12"/>
    <x v="52"/>
    <n v="2298"/>
    <n v="6434.4"/>
  </r>
  <r>
    <x v="0"/>
    <s v="Low"/>
    <x v="53"/>
    <n v="3"/>
    <n v="300"/>
    <n v="148200"/>
    <x v="13"/>
    <x v="53"/>
    <n v="123500"/>
    <n v="17290"/>
  </r>
  <r>
    <x v="0"/>
    <s v="Low"/>
    <x v="54"/>
    <n v="3"/>
    <n v="350"/>
    <n v="488950"/>
    <x v="14"/>
    <x v="54"/>
    <n v="363220"/>
    <n v="101282.5"/>
  </r>
  <r>
    <x v="0"/>
    <s v="Low"/>
    <x v="55"/>
    <n v="3"/>
    <n v="350"/>
    <n v="754250"/>
    <x v="15"/>
    <x v="55"/>
    <n v="560300"/>
    <n v="156237.5"/>
  </r>
  <r>
    <x v="1"/>
    <s v="Low"/>
    <x v="56"/>
    <n v="5"/>
    <n v="15"/>
    <n v="33210"/>
    <x v="16"/>
    <x v="56"/>
    <n v="22140"/>
    <n v="9409.5"/>
  </r>
  <r>
    <x v="1"/>
    <s v="Low"/>
    <x v="57"/>
    <n v="5"/>
    <n v="300"/>
    <n v="690300"/>
    <x v="17"/>
    <x v="57"/>
    <n v="575250"/>
    <n v="80535"/>
  </r>
  <r>
    <x v="1"/>
    <s v="Low"/>
    <x v="58"/>
    <n v="5"/>
    <n v="20"/>
    <n v="27510"/>
    <x v="18"/>
    <x v="58"/>
    <n v="13755"/>
    <n v="12379.5"/>
  </r>
  <r>
    <x v="1"/>
    <s v="Low"/>
    <x v="59"/>
    <n v="5"/>
    <n v="7"/>
    <n v="12810"/>
    <x v="19"/>
    <x v="59"/>
    <n v="9150"/>
    <n v="3019.5"/>
  </r>
  <r>
    <x v="1"/>
    <s v="Low"/>
    <x v="60"/>
    <n v="5"/>
    <n v="300"/>
    <n v="749400"/>
    <x v="20"/>
    <x v="60"/>
    <n v="624500"/>
    <n v="87430"/>
  </r>
  <r>
    <x v="1"/>
    <s v="Low"/>
    <x v="61"/>
    <n v="5"/>
    <n v="125"/>
    <n v="82875"/>
    <x v="21"/>
    <x v="61"/>
    <n v="79560"/>
    <n v="-828.75"/>
  </r>
  <r>
    <x v="2"/>
    <s v="Low"/>
    <x v="62"/>
    <n v="10"/>
    <n v="15"/>
    <n v="22710"/>
    <x v="22"/>
    <x v="62"/>
    <n v="15140"/>
    <n v="6434.5"/>
  </r>
  <r>
    <x v="2"/>
    <s v="Low"/>
    <x v="63"/>
    <n v="10"/>
    <n v="7"/>
    <n v="31447.5"/>
    <x v="23"/>
    <x v="63"/>
    <n v="22462.5"/>
    <n v="7412.625"/>
  </r>
  <r>
    <x v="2"/>
    <s v="Low"/>
    <x v="64"/>
    <n v="10"/>
    <n v="125"/>
    <n v="90875"/>
    <x v="24"/>
    <x v="64"/>
    <n v="87240"/>
    <n v="-908.75"/>
  </r>
  <r>
    <x v="2"/>
    <s v="Low"/>
    <x v="65"/>
    <n v="10"/>
    <n v="125"/>
    <n v="98375"/>
    <x v="25"/>
    <x v="65"/>
    <n v="94440"/>
    <n v="-983.75"/>
  </r>
  <r>
    <x v="2"/>
    <s v="Low"/>
    <x v="66"/>
    <n v="10"/>
    <n v="125"/>
    <n v="227875"/>
    <x v="26"/>
    <x v="66"/>
    <n v="218760"/>
    <n v="-2278.75"/>
  </r>
  <r>
    <x v="2"/>
    <s v="Low"/>
    <x v="67"/>
    <n v="10"/>
    <n v="15"/>
    <n v="11205"/>
    <x v="27"/>
    <x v="67"/>
    <n v="7470"/>
    <n v="3174.75"/>
  </r>
  <r>
    <x v="2"/>
    <s v="Low"/>
    <x v="52"/>
    <n v="10"/>
    <n v="12"/>
    <n v="9192"/>
    <x v="12"/>
    <x v="52"/>
    <n v="2298"/>
    <n v="6434.4"/>
  </r>
  <r>
    <x v="2"/>
    <s v="Low"/>
    <x v="68"/>
    <n v="10"/>
    <n v="300"/>
    <n v="871500"/>
    <x v="28"/>
    <x v="68"/>
    <n v="726250"/>
    <n v="101675"/>
  </r>
  <r>
    <x v="2"/>
    <s v="Low"/>
    <x v="55"/>
    <n v="10"/>
    <n v="350"/>
    <n v="754250"/>
    <x v="15"/>
    <x v="55"/>
    <n v="560300"/>
    <n v="156237.5"/>
  </r>
  <r>
    <x v="3"/>
    <s v="Low"/>
    <x v="69"/>
    <n v="120"/>
    <n v="20"/>
    <n v="77280"/>
    <x v="29"/>
    <x v="69"/>
    <n v="38640"/>
    <n v="34776"/>
  </r>
  <r>
    <x v="3"/>
    <s v="Low"/>
    <x v="70"/>
    <n v="120"/>
    <n v="7"/>
    <n v="2534"/>
    <x v="30"/>
    <x v="70"/>
    <n v="1810"/>
    <n v="597.30000000000018"/>
  </r>
  <r>
    <x v="3"/>
    <s v="Low"/>
    <x v="71"/>
    <n v="120"/>
    <n v="125"/>
    <n v="115375"/>
    <x v="31"/>
    <x v="71"/>
    <n v="110760"/>
    <n v="-1153.75"/>
  </r>
  <r>
    <x v="3"/>
    <s v="Low"/>
    <x v="61"/>
    <n v="120"/>
    <n v="125"/>
    <n v="82875"/>
    <x v="21"/>
    <x v="61"/>
    <n v="79560"/>
    <n v="-828.75"/>
  </r>
  <r>
    <x v="3"/>
    <s v="Low"/>
    <x v="72"/>
    <n v="120"/>
    <n v="7"/>
    <n v="14644"/>
    <x v="32"/>
    <x v="72"/>
    <n v="10460"/>
    <n v="3451.7999999999993"/>
  </r>
  <r>
    <x v="4"/>
    <s v="Low"/>
    <x v="73"/>
    <n v="250"/>
    <n v="7"/>
    <n v="1841"/>
    <x v="33"/>
    <x v="73"/>
    <n v="1315"/>
    <n v="433.95000000000005"/>
  </r>
  <r>
    <x v="4"/>
    <s v="Low"/>
    <x v="74"/>
    <n v="250"/>
    <n v="350"/>
    <n v="330225"/>
    <x v="34"/>
    <x v="74"/>
    <n v="245310"/>
    <n v="68403.75"/>
  </r>
  <r>
    <x v="4"/>
    <s v="Low"/>
    <x v="64"/>
    <n v="250"/>
    <n v="125"/>
    <n v="90875"/>
    <x v="24"/>
    <x v="64"/>
    <n v="87240"/>
    <n v="-908.75"/>
  </r>
  <r>
    <x v="4"/>
    <s v="Low"/>
    <x v="65"/>
    <n v="250"/>
    <n v="125"/>
    <n v="98375"/>
    <x v="25"/>
    <x v="65"/>
    <n v="94440"/>
    <n v="-983.75"/>
  </r>
  <r>
    <x v="4"/>
    <s v="Low"/>
    <x v="75"/>
    <n v="250"/>
    <n v="300"/>
    <n v="295800"/>
    <x v="35"/>
    <x v="75"/>
    <n v="246500"/>
    <n v="34510"/>
  </r>
  <r>
    <x v="4"/>
    <s v="Low"/>
    <x v="53"/>
    <n v="250"/>
    <n v="300"/>
    <n v="148200"/>
    <x v="13"/>
    <x v="53"/>
    <n v="123500"/>
    <n v="17290"/>
  </r>
  <r>
    <x v="4"/>
    <s v="Low"/>
    <x v="54"/>
    <n v="250"/>
    <n v="350"/>
    <n v="488950"/>
    <x v="14"/>
    <x v="54"/>
    <n v="363220"/>
    <n v="101282.5"/>
  </r>
  <r>
    <x v="4"/>
    <s v="Low"/>
    <x v="76"/>
    <n v="250"/>
    <n v="125"/>
    <n v="218000"/>
    <x v="36"/>
    <x v="76"/>
    <n v="209280"/>
    <n v="-2180"/>
  </r>
  <r>
    <x v="5"/>
    <s v="Low"/>
    <x v="77"/>
    <n v="260"/>
    <n v="12"/>
    <n v="23868"/>
    <x v="37"/>
    <x v="77"/>
    <n v="5967"/>
    <n v="16707.599999999999"/>
  </r>
  <r>
    <x v="5"/>
    <s v="Low"/>
    <x v="78"/>
    <n v="260"/>
    <n v="15"/>
    <n v="4815"/>
    <x v="38"/>
    <x v="78"/>
    <n v="3210"/>
    <n v="1364.25"/>
  </r>
  <r>
    <x v="0"/>
    <s v="Low"/>
    <x v="79"/>
    <n v="3"/>
    <n v="125"/>
    <n v="92812.5"/>
    <x v="39"/>
    <x v="79"/>
    <n v="89100"/>
    <n v="-928.125"/>
  </r>
  <r>
    <x v="0"/>
    <s v="Low"/>
    <x v="80"/>
    <n v="3"/>
    <n v="12"/>
    <n v="15540"/>
    <x v="40"/>
    <x v="80"/>
    <n v="3885"/>
    <n v="10878"/>
  </r>
  <r>
    <x v="0"/>
    <s v="Low"/>
    <x v="81"/>
    <n v="3"/>
    <n v="300"/>
    <n v="64200"/>
    <x v="41"/>
    <x v="81"/>
    <n v="53500"/>
    <n v="7490"/>
  </r>
  <r>
    <x v="0"/>
    <s v="Low"/>
    <x v="82"/>
    <n v="3"/>
    <n v="7"/>
    <n v="15015"/>
    <x v="42"/>
    <x v="82"/>
    <n v="10725"/>
    <n v="3539.25"/>
  </r>
  <r>
    <x v="0"/>
    <s v="Low"/>
    <x v="83"/>
    <n v="3"/>
    <n v="350"/>
    <n v="998200"/>
    <x v="43"/>
    <x v="83"/>
    <n v="741520"/>
    <n v="206770"/>
  </r>
  <r>
    <x v="1"/>
    <s v="Low"/>
    <x v="84"/>
    <n v="5"/>
    <n v="12"/>
    <n v="13704"/>
    <x v="44"/>
    <x v="84"/>
    <n v="3426"/>
    <n v="9592.7999999999993"/>
  </r>
  <r>
    <x v="1"/>
    <s v="Low"/>
    <x v="85"/>
    <n v="5"/>
    <n v="20"/>
    <n v="31320"/>
    <x v="45"/>
    <x v="85"/>
    <n v="15660"/>
    <n v="14094"/>
  </r>
  <r>
    <x v="1"/>
    <s v="Low"/>
    <x v="86"/>
    <n v="5"/>
    <n v="12"/>
    <n v="8280"/>
    <x v="46"/>
    <x v="86"/>
    <n v="2070"/>
    <n v="5796"/>
  </r>
  <r>
    <x v="1"/>
    <s v="Low"/>
    <x v="87"/>
    <n v="5"/>
    <n v="125"/>
    <n v="207500"/>
    <x v="47"/>
    <x v="87"/>
    <n v="199200"/>
    <n v="-2075"/>
  </r>
  <r>
    <x v="2"/>
    <s v="Low"/>
    <x v="88"/>
    <n v="10"/>
    <n v="15"/>
    <n v="35445"/>
    <x v="48"/>
    <x v="88"/>
    <n v="23630"/>
    <n v="10042.75"/>
  </r>
  <r>
    <x v="2"/>
    <s v="Low"/>
    <x v="89"/>
    <n v="10"/>
    <n v="300"/>
    <n v="275400"/>
    <x v="49"/>
    <x v="89"/>
    <n v="229500"/>
    <n v="32130"/>
  </r>
  <r>
    <x v="2"/>
    <s v="Low"/>
    <x v="90"/>
    <n v="10"/>
    <n v="300"/>
    <n v="518400"/>
    <x v="50"/>
    <x v="90"/>
    <n v="432000"/>
    <n v="60480"/>
  </r>
  <r>
    <x v="2"/>
    <s v="Low"/>
    <x v="84"/>
    <n v="10"/>
    <n v="12"/>
    <n v="13704"/>
    <x v="44"/>
    <x v="84"/>
    <n v="3426"/>
    <n v="9592.7999999999993"/>
  </r>
  <r>
    <x v="2"/>
    <s v="Low"/>
    <x v="91"/>
    <n v="10"/>
    <n v="125"/>
    <n v="82750"/>
    <x v="51"/>
    <x v="91"/>
    <n v="79440"/>
    <n v="-827.5"/>
  </r>
  <r>
    <x v="2"/>
    <s v="Low"/>
    <x v="80"/>
    <n v="10"/>
    <n v="12"/>
    <n v="15540"/>
    <x v="40"/>
    <x v="80"/>
    <n v="3885"/>
    <n v="10878"/>
  </r>
  <r>
    <x v="2"/>
    <s v="Low"/>
    <x v="92"/>
    <n v="10"/>
    <n v="125"/>
    <n v="101125"/>
    <x v="52"/>
    <x v="92"/>
    <n v="97080"/>
    <n v="-1011.25"/>
  </r>
  <r>
    <x v="2"/>
    <s v="Low"/>
    <x v="82"/>
    <n v="10"/>
    <n v="125"/>
    <n v="268125"/>
    <x v="53"/>
    <x v="93"/>
    <n v="257400"/>
    <n v="-2681.25"/>
  </r>
  <r>
    <x v="2"/>
    <s v="Low"/>
    <x v="93"/>
    <n v="10"/>
    <n v="12"/>
    <n v="21420"/>
    <x v="54"/>
    <x v="94"/>
    <n v="5355"/>
    <n v="14994"/>
  </r>
  <r>
    <x v="2"/>
    <s v="Low"/>
    <x v="94"/>
    <n v="10"/>
    <n v="300"/>
    <n v="574800"/>
    <x v="55"/>
    <x v="95"/>
    <n v="479000"/>
    <n v="67060"/>
  </r>
  <r>
    <x v="2"/>
    <s v="Low"/>
    <x v="83"/>
    <n v="10"/>
    <n v="350"/>
    <n v="998200"/>
    <x v="43"/>
    <x v="83"/>
    <n v="741520"/>
    <n v="206770"/>
  </r>
  <r>
    <x v="2"/>
    <s v="Low"/>
    <x v="95"/>
    <n v="10"/>
    <n v="125"/>
    <n v="341125"/>
    <x v="56"/>
    <x v="96"/>
    <n v="327480"/>
    <n v="-3411.25"/>
  </r>
  <r>
    <x v="2"/>
    <s v="Low"/>
    <x v="96"/>
    <n v="10"/>
    <n v="15"/>
    <n v="28875"/>
    <x v="57"/>
    <x v="97"/>
    <n v="19250"/>
    <n v="8181.25"/>
  </r>
  <r>
    <x v="2"/>
    <s v="Low"/>
    <x v="97"/>
    <n v="10"/>
    <n v="7"/>
    <n v="14091"/>
    <x v="58"/>
    <x v="98"/>
    <n v="10065"/>
    <n v="3321.4500000000007"/>
  </r>
  <r>
    <x v="2"/>
    <s v="Low"/>
    <x v="98"/>
    <n v="10"/>
    <n v="12"/>
    <n v="12660"/>
    <x v="59"/>
    <x v="99"/>
    <n v="3165"/>
    <n v="8862"/>
  </r>
  <r>
    <x v="2"/>
    <s v="Low"/>
    <x v="99"/>
    <n v="10"/>
    <n v="12"/>
    <n v="13008"/>
    <x v="60"/>
    <x v="100"/>
    <n v="3252"/>
    <n v="9105.6"/>
  </r>
  <r>
    <x v="3"/>
    <s v="Low"/>
    <x v="85"/>
    <n v="120"/>
    <n v="20"/>
    <n v="31320"/>
    <x v="45"/>
    <x v="85"/>
    <n v="15660"/>
    <n v="14094"/>
  </r>
  <r>
    <x v="3"/>
    <s v="Low"/>
    <x v="100"/>
    <n v="120"/>
    <n v="350"/>
    <n v="1038100"/>
    <x v="61"/>
    <x v="101"/>
    <n v="771160"/>
    <n v="215035"/>
  </r>
  <r>
    <x v="3"/>
    <s v="Low"/>
    <x v="101"/>
    <n v="120"/>
    <n v="350"/>
    <n v="1006950"/>
    <x v="62"/>
    <x v="102"/>
    <n v="748020"/>
    <n v="208582.5"/>
  </r>
  <r>
    <x v="3"/>
    <s v="Low"/>
    <x v="92"/>
    <n v="120"/>
    <n v="125"/>
    <n v="101125"/>
    <x v="52"/>
    <x v="92"/>
    <n v="97080"/>
    <n v="-1011.25"/>
  </r>
  <r>
    <x v="3"/>
    <s v="Low"/>
    <x v="82"/>
    <n v="120"/>
    <n v="125"/>
    <n v="268125"/>
    <x v="53"/>
    <x v="93"/>
    <n v="257400"/>
    <n v="-2681.25"/>
  </r>
  <r>
    <x v="3"/>
    <s v="Low"/>
    <x v="98"/>
    <n v="120"/>
    <n v="12"/>
    <n v="12660"/>
    <x v="59"/>
    <x v="99"/>
    <n v="3165"/>
    <n v="8862"/>
  </r>
  <r>
    <x v="3"/>
    <s v="Low"/>
    <x v="102"/>
    <n v="120"/>
    <n v="20"/>
    <n v="10880"/>
    <x v="63"/>
    <x v="103"/>
    <n v="5440"/>
    <n v="4896"/>
  </r>
  <r>
    <x v="3"/>
    <s v="Low"/>
    <x v="99"/>
    <n v="120"/>
    <n v="12"/>
    <n v="13008"/>
    <x v="60"/>
    <x v="100"/>
    <n v="3252"/>
    <n v="9105.6"/>
  </r>
  <r>
    <x v="4"/>
    <s v="Low"/>
    <x v="91"/>
    <n v="250"/>
    <n v="125"/>
    <n v="82750"/>
    <x v="51"/>
    <x v="91"/>
    <n v="79440"/>
    <n v="-827.5"/>
  </r>
  <r>
    <x v="4"/>
    <s v="Low"/>
    <x v="81"/>
    <n v="250"/>
    <n v="300"/>
    <n v="64200"/>
    <x v="41"/>
    <x v="81"/>
    <n v="53500"/>
    <n v="7490"/>
  </r>
  <r>
    <x v="4"/>
    <s v="Low"/>
    <x v="101"/>
    <n v="250"/>
    <n v="350"/>
    <n v="1006950"/>
    <x v="62"/>
    <x v="102"/>
    <n v="748020"/>
    <n v="208582.5"/>
  </r>
  <r>
    <x v="4"/>
    <s v="Low"/>
    <x v="95"/>
    <n v="250"/>
    <n v="125"/>
    <n v="341125"/>
    <x v="56"/>
    <x v="96"/>
    <n v="327480"/>
    <n v="-3411.25"/>
  </r>
  <r>
    <x v="4"/>
    <s v="Low"/>
    <x v="103"/>
    <n v="250"/>
    <n v="350"/>
    <n v="93100"/>
    <x v="64"/>
    <x v="104"/>
    <n v="69160"/>
    <n v="19285"/>
  </r>
  <r>
    <x v="4"/>
    <s v="Low"/>
    <x v="104"/>
    <n v="250"/>
    <n v="350"/>
    <n v="679000"/>
    <x v="65"/>
    <x v="105"/>
    <n v="504400"/>
    <n v="140650"/>
  </r>
  <r>
    <x v="5"/>
    <s v="Low"/>
    <x v="105"/>
    <n v="260"/>
    <n v="300"/>
    <n v="77700"/>
    <x v="66"/>
    <x v="106"/>
    <n v="64750"/>
    <n v="9065"/>
  </r>
  <r>
    <x v="5"/>
    <s v="Low"/>
    <x v="106"/>
    <n v="260"/>
    <n v="300"/>
    <n v="330300"/>
    <x v="67"/>
    <x v="107"/>
    <n v="275250"/>
    <n v="38535"/>
  </r>
  <r>
    <x v="5"/>
    <s v="Low"/>
    <x v="107"/>
    <n v="260"/>
    <n v="125"/>
    <n v="284500"/>
    <x v="68"/>
    <x v="108"/>
    <n v="273120"/>
    <n v="-2845"/>
  </r>
  <r>
    <x v="5"/>
    <s v="Low"/>
    <x v="100"/>
    <n v="260"/>
    <n v="350"/>
    <n v="1038100"/>
    <x v="61"/>
    <x v="101"/>
    <n v="771160"/>
    <n v="215035"/>
  </r>
  <r>
    <x v="5"/>
    <s v="Low"/>
    <x v="108"/>
    <n v="260"/>
    <n v="20"/>
    <n v="24720"/>
    <x v="69"/>
    <x v="109"/>
    <n v="12360"/>
    <n v="11124"/>
  </r>
  <r>
    <x v="5"/>
    <s v="Low"/>
    <x v="109"/>
    <n v="260"/>
    <n v="20"/>
    <n v="18820"/>
    <x v="70"/>
    <x v="110"/>
    <n v="9410"/>
    <n v="8469"/>
  </r>
  <r>
    <x v="5"/>
    <s v="Low"/>
    <x v="94"/>
    <n v="260"/>
    <n v="300"/>
    <n v="574800"/>
    <x v="55"/>
    <x v="95"/>
    <n v="479000"/>
    <n v="67060"/>
  </r>
  <r>
    <x v="0"/>
    <s v="Low"/>
    <x v="110"/>
    <n v="3"/>
    <n v="125"/>
    <n v="530437.5"/>
    <x v="71"/>
    <x v="111"/>
    <n v="509220"/>
    <n v="-5304.375"/>
  </r>
  <r>
    <x v="0"/>
    <s v="Low"/>
    <x v="111"/>
    <n v="3"/>
    <n v="20"/>
    <n v="51600"/>
    <x v="72"/>
    <x v="112"/>
    <n v="25800"/>
    <n v="23220"/>
  </r>
  <r>
    <x v="0"/>
    <s v="Low"/>
    <x v="112"/>
    <n v="3"/>
    <n v="300"/>
    <n v="206700"/>
    <x v="73"/>
    <x v="113"/>
    <n v="172250"/>
    <n v="24115"/>
  </r>
  <r>
    <x v="0"/>
    <s v="Low"/>
    <x v="113"/>
    <n v="3"/>
    <n v="12"/>
    <n v="23364"/>
    <x v="74"/>
    <x v="114"/>
    <n v="5841"/>
    <n v="16354.8"/>
  </r>
  <r>
    <x v="0"/>
    <s v="Low"/>
    <x v="114"/>
    <n v="3"/>
    <n v="12"/>
    <n v="10896"/>
    <x v="75"/>
    <x v="115"/>
    <n v="2724"/>
    <n v="7627.2000000000007"/>
  </r>
  <r>
    <x v="1"/>
    <s v="Low"/>
    <x v="115"/>
    <n v="5"/>
    <n v="7"/>
    <n v="13706"/>
    <x v="76"/>
    <x v="116"/>
    <n v="9790"/>
    <n v="3230.7000000000007"/>
  </r>
  <r>
    <x v="1"/>
    <s v="Low"/>
    <x v="116"/>
    <n v="5"/>
    <n v="12"/>
    <n v="22812"/>
    <x v="77"/>
    <x v="117"/>
    <n v="5703"/>
    <n v="15968.400000000001"/>
  </r>
  <r>
    <x v="1"/>
    <s v="Low"/>
    <x v="102"/>
    <n v="5"/>
    <n v="7"/>
    <n v="3808"/>
    <x v="78"/>
    <x v="118"/>
    <n v="2720"/>
    <n v="897.59999999999991"/>
  </r>
  <r>
    <x v="1"/>
    <s v="Low"/>
    <x v="117"/>
    <n v="5"/>
    <n v="350"/>
    <n v="628950"/>
    <x v="79"/>
    <x v="119"/>
    <n v="467220"/>
    <n v="130282.5"/>
  </r>
  <r>
    <x v="1"/>
    <s v="Low"/>
    <x v="118"/>
    <n v="5"/>
    <n v="125"/>
    <n v="160875"/>
    <x v="80"/>
    <x v="120"/>
    <n v="154440"/>
    <n v="-1608.75"/>
  </r>
  <r>
    <x v="1"/>
    <s v="Low"/>
    <x v="119"/>
    <n v="5"/>
    <n v="125"/>
    <n v="213250"/>
    <x v="81"/>
    <x v="121"/>
    <n v="204720"/>
    <n v="-2132.5"/>
  </r>
  <r>
    <x v="2"/>
    <s v="Low"/>
    <x v="120"/>
    <n v="10"/>
    <n v="300"/>
    <n v="730350"/>
    <x v="82"/>
    <x v="122"/>
    <n v="608625"/>
    <n v="85207.5"/>
  </r>
  <r>
    <x v="2"/>
    <s v="Low"/>
    <x v="121"/>
    <n v="10"/>
    <n v="125"/>
    <n v="221750"/>
    <x v="83"/>
    <x v="123"/>
    <n v="212880"/>
    <n v="-2217.5"/>
  </r>
  <r>
    <x v="2"/>
    <s v="Low"/>
    <x v="116"/>
    <n v="10"/>
    <n v="12"/>
    <n v="22812"/>
    <x v="77"/>
    <x v="117"/>
    <n v="5703"/>
    <n v="15968.400000000001"/>
  </r>
  <r>
    <x v="2"/>
    <s v="Low"/>
    <x v="112"/>
    <n v="10"/>
    <n v="300"/>
    <n v="206700"/>
    <x v="73"/>
    <x v="113"/>
    <n v="172250"/>
    <n v="24115"/>
  </r>
  <r>
    <x v="2"/>
    <s v="Low"/>
    <x v="122"/>
    <n v="10"/>
    <n v="125"/>
    <n v="196250"/>
    <x v="84"/>
    <x v="124"/>
    <n v="188400"/>
    <n v="-1962.5"/>
  </r>
  <r>
    <x v="2"/>
    <s v="Low"/>
    <x v="123"/>
    <n v="10"/>
    <n v="12"/>
    <n v="16434"/>
    <x v="85"/>
    <x v="125"/>
    <n v="4108.5"/>
    <n v="11503.8"/>
  </r>
  <r>
    <x v="2"/>
    <s v="Low"/>
    <x v="124"/>
    <n v="10"/>
    <n v="125"/>
    <n v="251125"/>
    <x v="86"/>
    <x v="126"/>
    <n v="241080"/>
    <n v="-2511.25"/>
  </r>
  <r>
    <x v="2"/>
    <s v="Low"/>
    <x v="125"/>
    <n v="10"/>
    <n v="15"/>
    <n v="29175"/>
    <x v="87"/>
    <x v="127"/>
    <n v="19450"/>
    <n v="8266.25"/>
  </r>
  <r>
    <x v="2"/>
    <s v="Low"/>
    <x v="118"/>
    <n v="10"/>
    <n v="125"/>
    <n v="160875"/>
    <x v="80"/>
    <x v="120"/>
    <n v="154440"/>
    <n v="-1608.75"/>
  </r>
  <r>
    <x v="2"/>
    <s v="Low"/>
    <x v="119"/>
    <n v="10"/>
    <n v="125"/>
    <n v="213250"/>
    <x v="81"/>
    <x v="121"/>
    <n v="204720"/>
    <n v="-2132.5"/>
  </r>
  <r>
    <x v="3"/>
    <s v="Low"/>
    <x v="124"/>
    <n v="120"/>
    <n v="125"/>
    <n v="251125"/>
    <x v="86"/>
    <x v="126"/>
    <n v="241080"/>
    <n v="-2511.25"/>
  </r>
  <r>
    <x v="4"/>
    <s v="Low"/>
    <x v="126"/>
    <n v="250"/>
    <n v="300"/>
    <n v="853200"/>
    <x v="88"/>
    <x v="128"/>
    <n v="711000"/>
    <n v="99540"/>
  </r>
  <r>
    <x v="4"/>
    <s v="Low"/>
    <x v="94"/>
    <n v="250"/>
    <n v="12"/>
    <n v="22992"/>
    <x v="89"/>
    <x v="129"/>
    <n v="5748"/>
    <n v="16094.400000000001"/>
  </r>
  <r>
    <x v="4"/>
    <s v="Low"/>
    <x v="122"/>
    <n v="250"/>
    <n v="125"/>
    <n v="196250"/>
    <x v="84"/>
    <x v="124"/>
    <n v="188400"/>
    <n v="-1962.5"/>
  </r>
  <r>
    <x v="4"/>
    <s v="Low"/>
    <x v="127"/>
    <n v="250"/>
    <n v="300"/>
    <n v="562200"/>
    <x v="90"/>
    <x v="130"/>
    <n v="468500"/>
    <n v="65590"/>
  </r>
  <r>
    <x v="4"/>
    <s v="Low"/>
    <x v="128"/>
    <n v="250"/>
    <n v="350"/>
    <n v="574700"/>
    <x v="91"/>
    <x v="131"/>
    <n v="426920"/>
    <n v="119045"/>
  </r>
  <r>
    <x v="4"/>
    <s v="Low"/>
    <x v="125"/>
    <n v="250"/>
    <n v="15"/>
    <n v="29175"/>
    <x v="87"/>
    <x v="127"/>
    <n v="19450"/>
    <n v="8266.25"/>
  </r>
  <r>
    <x v="0"/>
    <s v="Low"/>
    <x v="129"/>
    <n v="3"/>
    <n v="20"/>
    <n v="16620"/>
    <x v="92"/>
    <x v="132"/>
    <n v="8310"/>
    <n v="7479"/>
  </r>
  <r>
    <x v="2"/>
    <s v="Low"/>
    <x v="130"/>
    <n v="10"/>
    <n v="7"/>
    <n v="12320"/>
    <x v="93"/>
    <x v="133"/>
    <n v="8800"/>
    <n v="2904"/>
  </r>
  <r>
    <x v="3"/>
    <s v="Low"/>
    <x v="131"/>
    <n v="120"/>
    <n v="20"/>
    <n v="77010"/>
    <x v="94"/>
    <x v="134"/>
    <n v="38505"/>
    <n v="34654.5"/>
  </r>
  <r>
    <x v="4"/>
    <s v="Low"/>
    <x v="132"/>
    <n v="250"/>
    <n v="12"/>
    <n v="29748"/>
    <x v="95"/>
    <x v="135"/>
    <n v="7437"/>
    <n v="20823.599999999999"/>
  </r>
  <r>
    <x v="1"/>
    <s v="Low"/>
    <x v="133"/>
    <n v="5"/>
    <n v="15"/>
    <n v="30465"/>
    <x v="96"/>
    <x v="136"/>
    <n v="20310"/>
    <n v="8631.75"/>
  </r>
  <r>
    <x v="2"/>
    <s v="Low"/>
    <x v="133"/>
    <n v="10"/>
    <n v="15"/>
    <n v="30465"/>
    <x v="96"/>
    <x v="136"/>
    <n v="20310"/>
    <n v="8631.75"/>
  </r>
  <r>
    <x v="2"/>
    <s v="Low"/>
    <x v="134"/>
    <n v="10"/>
    <n v="15"/>
    <n v="33915"/>
    <x v="97"/>
    <x v="137"/>
    <n v="22610"/>
    <n v="9609.25"/>
  </r>
  <r>
    <x v="3"/>
    <s v="Low"/>
    <x v="135"/>
    <n v="120"/>
    <n v="20"/>
    <n v="14720"/>
    <x v="98"/>
    <x v="138"/>
    <n v="7360"/>
    <n v="6624"/>
  </r>
  <r>
    <x v="0"/>
    <s v="Low"/>
    <x v="136"/>
    <n v="3"/>
    <n v="7"/>
    <n v="19957"/>
    <x v="99"/>
    <x v="139"/>
    <n v="14255"/>
    <n v="4704.1500000000015"/>
  </r>
  <r>
    <x v="0"/>
    <s v="Low"/>
    <x v="137"/>
    <n v="3"/>
    <n v="300"/>
    <n v="606300"/>
    <x v="100"/>
    <x v="140"/>
    <n v="505250"/>
    <n v="70735"/>
  </r>
  <r>
    <x v="0"/>
    <s v="Low"/>
    <x v="138"/>
    <n v="3"/>
    <n v="350"/>
    <n v="95900"/>
    <x v="101"/>
    <x v="141"/>
    <n v="71240"/>
    <n v="19865"/>
  </r>
  <r>
    <x v="1"/>
    <s v="Low"/>
    <x v="139"/>
    <n v="5"/>
    <n v="15"/>
    <n v="29505"/>
    <x v="102"/>
    <x v="142"/>
    <n v="19670"/>
    <n v="8359.75"/>
  </r>
  <r>
    <x v="1"/>
    <s v="Low"/>
    <x v="140"/>
    <n v="5"/>
    <n v="300"/>
    <n v="557700"/>
    <x v="103"/>
    <x v="143"/>
    <n v="464750"/>
    <n v="65065"/>
  </r>
  <r>
    <x v="1"/>
    <s v="Low"/>
    <x v="136"/>
    <n v="5"/>
    <n v="7"/>
    <n v="19957"/>
    <x v="99"/>
    <x v="139"/>
    <n v="14255"/>
    <n v="4704.1500000000015"/>
  </r>
  <r>
    <x v="1"/>
    <s v="Low"/>
    <x v="137"/>
    <n v="5"/>
    <n v="300"/>
    <n v="606300"/>
    <x v="100"/>
    <x v="140"/>
    <n v="505250"/>
    <n v="70735"/>
  </r>
  <r>
    <x v="1"/>
    <s v="Low"/>
    <x v="141"/>
    <n v="5"/>
    <n v="125"/>
    <n v="142250"/>
    <x v="104"/>
    <x v="144"/>
    <n v="136560"/>
    <n v="-1422.5"/>
  </r>
  <r>
    <x v="2"/>
    <s v="Low"/>
    <x v="142"/>
    <n v="10"/>
    <n v="7"/>
    <n v="29757"/>
    <x v="105"/>
    <x v="145"/>
    <n v="21255"/>
    <n v="7014.1500000000015"/>
  </r>
  <r>
    <x v="2"/>
    <s v="Low"/>
    <x v="143"/>
    <n v="10"/>
    <n v="125"/>
    <n v="99375"/>
    <x v="106"/>
    <x v="146"/>
    <n v="95400"/>
    <n v="-993.75"/>
  </r>
  <r>
    <x v="2"/>
    <s v="Low"/>
    <x v="144"/>
    <n v="10"/>
    <n v="300"/>
    <n v="424350"/>
    <x v="107"/>
    <x v="147"/>
    <n v="353625"/>
    <n v="49507.5"/>
  </r>
  <r>
    <x v="2"/>
    <s v="Low"/>
    <x v="145"/>
    <n v="10"/>
    <n v="300"/>
    <n v="875400"/>
    <x v="108"/>
    <x v="148"/>
    <n v="729500"/>
    <n v="102130"/>
  </r>
  <r>
    <x v="2"/>
    <s v="Low"/>
    <x v="146"/>
    <n v="10"/>
    <n v="350"/>
    <n v="1207500"/>
    <x v="109"/>
    <x v="149"/>
    <n v="897000"/>
    <n v="250125"/>
  </r>
  <r>
    <x v="2"/>
    <s v="Low"/>
    <x v="147"/>
    <n v="10"/>
    <n v="125"/>
    <n v="373500"/>
    <x v="110"/>
    <x v="150"/>
    <n v="358560"/>
    <n v="-3735"/>
  </r>
  <r>
    <x v="2"/>
    <s v="Low"/>
    <x v="148"/>
    <n v="10"/>
    <n v="15"/>
    <n v="3270"/>
    <x v="111"/>
    <x v="151"/>
    <n v="2180"/>
    <n v="926.5"/>
  </r>
  <r>
    <x v="2"/>
    <s v="Low"/>
    <x v="149"/>
    <n v="10"/>
    <n v="20"/>
    <n v="41480"/>
    <x v="112"/>
    <x v="152"/>
    <n v="20740"/>
    <n v="18666"/>
  </r>
  <r>
    <x v="2"/>
    <s v="Low"/>
    <x v="150"/>
    <n v="10"/>
    <n v="20"/>
    <n v="21120"/>
    <x v="113"/>
    <x v="153"/>
    <n v="10560"/>
    <n v="9504"/>
  </r>
  <r>
    <x v="2"/>
    <s v="Low"/>
    <x v="151"/>
    <n v="10"/>
    <n v="15"/>
    <n v="10065"/>
    <x v="114"/>
    <x v="154"/>
    <n v="6710"/>
    <n v="2851.75"/>
  </r>
  <r>
    <x v="2"/>
    <s v="Low"/>
    <x v="62"/>
    <n v="10"/>
    <n v="15"/>
    <n v="22710"/>
    <x v="22"/>
    <x v="62"/>
    <n v="15140"/>
    <n v="6434.5"/>
  </r>
  <r>
    <x v="2"/>
    <s v="Low"/>
    <x v="138"/>
    <n v="10"/>
    <n v="350"/>
    <n v="95900"/>
    <x v="101"/>
    <x v="141"/>
    <n v="71240"/>
    <n v="19865"/>
  </r>
  <r>
    <x v="2"/>
    <s v="Low"/>
    <x v="141"/>
    <n v="10"/>
    <n v="125"/>
    <n v="142250"/>
    <x v="104"/>
    <x v="144"/>
    <n v="136560"/>
    <n v="-1422.5"/>
  </r>
  <r>
    <x v="3"/>
    <s v="Low"/>
    <x v="152"/>
    <n v="120"/>
    <n v="12"/>
    <n v="17580"/>
    <x v="115"/>
    <x v="155"/>
    <n v="4395"/>
    <n v="12306"/>
  </r>
  <r>
    <x v="3"/>
    <s v="Low"/>
    <x v="153"/>
    <n v="120"/>
    <n v="20"/>
    <n v="52920"/>
    <x v="116"/>
    <x v="156"/>
    <n v="26460"/>
    <n v="23814"/>
  </r>
  <r>
    <x v="3"/>
    <s v="Low"/>
    <x v="154"/>
    <n v="120"/>
    <n v="350"/>
    <n v="761950"/>
    <x v="117"/>
    <x v="157"/>
    <n v="566020"/>
    <n v="157832.5"/>
  </r>
  <r>
    <x v="4"/>
    <s v="Low"/>
    <x v="155"/>
    <n v="250"/>
    <n v="12"/>
    <n v="10392"/>
    <x v="118"/>
    <x v="158"/>
    <n v="2598"/>
    <n v="7274.4"/>
  </r>
  <r>
    <x v="4"/>
    <s v="Low"/>
    <x v="156"/>
    <n v="250"/>
    <n v="350"/>
    <n v="122150"/>
    <x v="119"/>
    <x v="159"/>
    <n v="90740"/>
    <n v="25302.5"/>
  </r>
  <r>
    <x v="4"/>
    <s v="Low"/>
    <x v="154"/>
    <n v="250"/>
    <n v="350"/>
    <n v="761950"/>
    <x v="117"/>
    <x v="157"/>
    <n v="566020"/>
    <n v="157832.5"/>
  </r>
  <r>
    <x v="4"/>
    <s v="Low"/>
    <x v="62"/>
    <n v="250"/>
    <n v="15"/>
    <n v="22710"/>
    <x v="22"/>
    <x v="62"/>
    <n v="15140"/>
    <n v="6434.5"/>
  </r>
  <r>
    <x v="5"/>
    <s v="Low"/>
    <x v="157"/>
    <n v="260"/>
    <n v="350"/>
    <n v="652750"/>
    <x v="120"/>
    <x v="160"/>
    <n v="484900"/>
    <n v="135212.5"/>
  </r>
  <r>
    <x v="5"/>
    <s v="Low"/>
    <x v="158"/>
    <n v="260"/>
    <n v="125"/>
    <n v="134250"/>
    <x v="121"/>
    <x v="161"/>
    <n v="128880"/>
    <n v="-1342.5"/>
  </r>
  <r>
    <x v="5"/>
    <s v="Low"/>
    <x v="159"/>
    <n v="260"/>
    <n v="350"/>
    <n v="667450"/>
    <x v="122"/>
    <x v="162"/>
    <n v="495820"/>
    <n v="138257.5"/>
  </r>
  <r>
    <x v="5"/>
    <s v="Low"/>
    <x v="151"/>
    <n v="260"/>
    <n v="15"/>
    <n v="10065"/>
    <x v="114"/>
    <x v="154"/>
    <n v="6710"/>
    <n v="2851.75"/>
  </r>
  <r>
    <x v="5"/>
    <s v="Low"/>
    <x v="160"/>
    <n v="260"/>
    <n v="350"/>
    <n v="622300"/>
    <x v="123"/>
    <x v="163"/>
    <n v="462280"/>
    <n v="128905"/>
  </r>
  <r>
    <x v="1"/>
    <s v="Medium"/>
    <x v="161"/>
    <n v="5"/>
    <n v="7"/>
    <n v="8113"/>
    <x v="124"/>
    <x v="164"/>
    <n v="5795"/>
    <n v="1506.6999999999998"/>
  </r>
  <r>
    <x v="2"/>
    <s v="Medium"/>
    <x v="162"/>
    <n v="10"/>
    <n v="7"/>
    <n v="9604"/>
    <x v="125"/>
    <x v="165"/>
    <n v="6860"/>
    <n v="1783.6000000000004"/>
  </r>
  <r>
    <x v="2"/>
    <s v="Medium"/>
    <x v="163"/>
    <n v="10"/>
    <n v="7"/>
    <n v="16443"/>
    <x v="126"/>
    <x v="166"/>
    <n v="11745"/>
    <n v="3053.7000000000007"/>
  </r>
  <r>
    <x v="2"/>
    <s v="Medium"/>
    <x v="164"/>
    <n v="10"/>
    <n v="7"/>
    <n v="18823"/>
    <x v="127"/>
    <x v="167"/>
    <n v="13445"/>
    <n v="3495.7000000000007"/>
  </r>
  <r>
    <x v="2"/>
    <s v="Medium"/>
    <x v="165"/>
    <n v="10"/>
    <n v="12"/>
    <n v="29172"/>
    <x v="128"/>
    <x v="168"/>
    <n v="7293"/>
    <n v="18961.8"/>
  </r>
  <r>
    <x v="3"/>
    <s v="Medium"/>
    <x v="165"/>
    <n v="120"/>
    <n v="12"/>
    <n v="29172"/>
    <x v="128"/>
    <x v="168"/>
    <n v="7293"/>
    <n v="18961.8"/>
  </r>
  <r>
    <x v="4"/>
    <s v="Medium"/>
    <x v="164"/>
    <n v="250"/>
    <n v="7"/>
    <n v="18823"/>
    <x v="127"/>
    <x v="167"/>
    <n v="13445"/>
    <n v="3495.7000000000007"/>
  </r>
  <r>
    <x v="5"/>
    <s v="Medium"/>
    <x v="166"/>
    <n v="260"/>
    <n v="7"/>
    <n v="11781"/>
    <x v="129"/>
    <x v="169"/>
    <n v="8415"/>
    <n v="2187.8999999999996"/>
  </r>
  <r>
    <x v="5"/>
    <s v="Medium"/>
    <x v="167"/>
    <n v="260"/>
    <n v="12"/>
    <n v="13476"/>
    <x v="130"/>
    <x v="170"/>
    <n v="3369"/>
    <n v="8759.4"/>
  </r>
  <r>
    <x v="5"/>
    <s v="Medium"/>
    <x v="161"/>
    <n v="260"/>
    <n v="7"/>
    <n v="8113"/>
    <x v="124"/>
    <x v="164"/>
    <n v="5795"/>
    <n v="1506.6999999999998"/>
  </r>
  <r>
    <x v="0"/>
    <s v="Medium"/>
    <x v="157"/>
    <n v="3"/>
    <n v="12"/>
    <n v="22380"/>
    <x v="131"/>
    <x v="171"/>
    <n v="5595"/>
    <n v="14547"/>
  </r>
  <r>
    <x v="0"/>
    <s v="Medium"/>
    <x v="168"/>
    <n v="3"/>
    <n v="12"/>
    <n v="13392"/>
    <x v="132"/>
    <x v="172"/>
    <n v="3348"/>
    <n v="8704.7999999999993"/>
  </r>
  <r>
    <x v="0"/>
    <s v="Medium"/>
    <x v="169"/>
    <n v="3"/>
    <n v="20"/>
    <n v="31260"/>
    <x v="133"/>
    <x v="173"/>
    <n v="15630"/>
    <n v="12504"/>
  </r>
  <r>
    <x v="0"/>
    <s v="Medium"/>
    <x v="170"/>
    <n v="3"/>
    <n v="300"/>
    <n v="297300"/>
    <x v="134"/>
    <x v="174"/>
    <n v="247750"/>
    <n v="19820"/>
  </r>
  <r>
    <x v="0"/>
    <s v="Medium"/>
    <x v="171"/>
    <n v="3"/>
    <n v="7"/>
    <n v="7112"/>
    <x v="135"/>
    <x v="175"/>
    <n v="5080"/>
    <n v="1320.8000000000002"/>
  </r>
  <r>
    <x v="0"/>
    <s v="Medium"/>
    <x v="172"/>
    <n v="3"/>
    <n v="15"/>
    <n v="41865"/>
    <x v="136"/>
    <x v="176"/>
    <n v="27910"/>
    <n v="9768.5"/>
  </r>
  <r>
    <x v="0"/>
    <s v="Medium"/>
    <x v="173"/>
    <n v="3"/>
    <n v="7"/>
    <n v="3990"/>
    <x v="137"/>
    <x v="177"/>
    <n v="2850"/>
    <n v="741"/>
  </r>
  <r>
    <x v="0"/>
    <s v="Medium"/>
    <x v="174"/>
    <n v="3"/>
    <n v="7"/>
    <n v="17409"/>
    <x v="138"/>
    <x v="178"/>
    <n v="12435"/>
    <n v="3233.1000000000004"/>
  </r>
  <r>
    <x v="1"/>
    <s v="Medium"/>
    <x v="175"/>
    <n v="5"/>
    <n v="350"/>
    <n v="484575"/>
    <x v="139"/>
    <x v="179"/>
    <n v="359970"/>
    <n v="76147.5"/>
  </r>
  <r>
    <x v="1"/>
    <s v="Medium"/>
    <x v="176"/>
    <n v="5"/>
    <n v="125"/>
    <n v="453375"/>
    <x v="140"/>
    <x v="180"/>
    <n v="435240"/>
    <n v="-27202.5"/>
  </r>
  <r>
    <x v="1"/>
    <s v="Medium"/>
    <x v="177"/>
    <n v="5"/>
    <n v="350"/>
    <n v="252000"/>
    <x v="141"/>
    <x v="181"/>
    <n v="187200"/>
    <n v="39600"/>
  </r>
  <r>
    <x v="1"/>
    <s v="Medium"/>
    <x v="178"/>
    <n v="5"/>
    <n v="12"/>
    <n v="28104"/>
    <x v="142"/>
    <x v="182"/>
    <n v="7026"/>
    <n v="18267.599999999999"/>
  </r>
  <r>
    <x v="1"/>
    <s v="Medium"/>
    <x v="179"/>
    <n v="5"/>
    <n v="300"/>
    <n v="330000"/>
    <x v="143"/>
    <x v="183"/>
    <n v="275000"/>
    <n v="22000"/>
  </r>
  <r>
    <x v="2"/>
    <s v="Medium"/>
    <x v="180"/>
    <n v="10"/>
    <n v="20"/>
    <n v="26060"/>
    <x v="144"/>
    <x v="184"/>
    <n v="13030"/>
    <n v="10424"/>
  </r>
  <r>
    <x v="2"/>
    <s v="Medium"/>
    <x v="181"/>
    <n v="10"/>
    <n v="125"/>
    <n v="374000"/>
    <x v="145"/>
    <x v="185"/>
    <n v="359040"/>
    <n v="-22440"/>
  </r>
  <r>
    <x v="2"/>
    <s v="Medium"/>
    <x v="182"/>
    <n v="10"/>
    <n v="125"/>
    <n v="298125"/>
    <x v="146"/>
    <x v="186"/>
    <n v="286200"/>
    <n v="-17887.5"/>
  </r>
  <r>
    <x v="2"/>
    <s v="Medium"/>
    <x v="183"/>
    <n v="10"/>
    <n v="300"/>
    <n v="482100"/>
    <x v="147"/>
    <x v="187"/>
    <n v="401750"/>
    <n v="32140"/>
  </r>
  <r>
    <x v="2"/>
    <s v="Medium"/>
    <x v="184"/>
    <n v="10"/>
    <n v="7"/>
    <n v="16289"/>
    <x v="148"/>
    <x v="188"/>
    <n v="11635"/>
    <n v="3025.1000000000004"/>
  </r>
  <r>
    <x v="2"/>
    <s v="Medium"/>
    <x v="170"/>
    <n v="10"/>
    <n v="300"/>
    <n v="297300"/>
    <x v="134"/>
    <x v="174"/>
    <n v="247750"/>
    <n v="19820"/>
  </r>
  <r>
    <x v="2"/>
    <s v="Medium"/>
    <x v="185"/>
    <n v="10"/>
    <n v="350"/>
    <n v="210700"/>
    <x v="149"/>
    <x v="189"/>
    <n v="156520"/>
    <n v="33110"/>
  </r>
  <r>
    <x v="2"/>
    <s v="Medium"/>
    <x v="186"/>
    <n v="10"/>
    <n v="15"/>
    <n v="39300"/>
    <x v="150"/>
    <x v="190"/>
    <n v="26200"/>
    <n v="9170"/>
  </r>
  <r>
    <x v="2"/>
    <s v="Medium"/>
    <x v="187"/>
    <n v="10"/>
    <n v="350"/>
    <n v="429800"/>
    <x v="151"/>
    <x v="191"/>
    <n v="319280"/>
    <n v="67540"/>
  </r>
  <r>
    <x v="2"/>
    <s v="Medium"/>
    <x v="188"/>
    <n v="10"/>
    <n v="20"/>
    <n v="27780"/>
    <x v="152"/>
    <x v="192"/>
    <n v="13890"/>
    <n v="11112"/>
  </r>
  <r>
    <x v="2"/>
    <s v="Medium"/>
    <x v="189"/>
    <n v="10"/>
    <n v="125"/>
    <n v="107625"/>
    <x v="153"/>
    <x v="193"/>
    <n v="103320"/>
    <n v="-6457.5"/>
  </r>
  <r>
    <x v="2"/>
    <s v="Medium"/>
    <x v="190"/>
    <n v="10"/>
    <n v="125"/>
    <n v="88000"/>
    <x v="154"/>
    <x v="194"/>
    <n v="84480"/>
    <n v="-5280"/>
  </r>
  <r>
    <x v="2"/>
    <s v="Medium"/>
    <x v="191"/>
    <n v="10"/>
    <n v="20"/>
    <n v="36040"/>
    <x v="155"/>
    <x v="195"/>
    <n v="18020"/>
    <n v="14416"/>
  </r>
  <r>
    <x v="2"/>
    <s v="Medium"/>
    <x v="192"/>
    <n v="10"/>
    <n v="20"/>
    <n v="53260"/>
    <x v="156"/>
    <x v="196"/>
    <n v="26630"/>
    <n v="21304"/>
  </r>
  <r>
    <x v="2"/>
    <s v="Medium"/>
    <x v="193"/>
    <n v="10"/>
    <n v="7"/>
    <n v="14952"/>
    <x v="157"/>
    <x v="197"/>
    <n v="10680"/>
    <n v="2776.7999999999993"/>
  </r>
  <r>
    <x v="2"/>
    <s v="Medium"/>
    <x v="194"/>
    <n v="10"/>
    <n v="15"/>
    <n v="31740"/>
    <x v="158"/>
    <x v="198"/>
    <n v="21160"/>
    <n v="7406"/>
  </r>
  <r>
    <x v="3"/>
    <s v="Medium"/>
    <x v="195"/>
    <n v="120"/>
    <n v="15"/>
    <n v="8325"/>
    <x v="159"/>
    <x v="199"/>
    <n v="5550"/>
    <n v="1942.5"/>
  </r>
  <r>
    <x v="3"/>
    <s v="Medium"/>
    <x v="196"/>
    <n v="120"/>
    <n v="15"/>
    <n v="42915"/>
    <x v="160"/>
    <x v="200"/>
    <n v="28610"/>
    <n v="10013.5"/>
  </r>
  <r>
    <x v="3"/>
    <s v="Medium"/>
    <x v="197"/>
    <n v="120"/>
    <n v="125"/>
    <n v="100875"/>
    <x v="161"/>
    <x v="201"/>
    <n v="96840"/>
    <n v="-6052.5"/>
  </r>
  <r>
    <x v="3"/>
    <s v="Medium"/>
    <x v="185"/>
    <n v="120"/>
    <n v="350"/>
    <n v="210700"/>
    <x v="149"/>
    <x v="189"/>
    <n v="156520"/>
    <n v="33110"/>
  </r>
  <r>
    <x v="3"/>
    <s v="Medium"/>
    <x v="198"/>
    <n v="120"/>
    <n v="20"/>
    <n v="56640"/>
    <x v="162"/>
    <x v="202"/>
    <n v="28320"/>
    <n v="22656"/>
  </r>
  <r>
    <x v="3"/>
    <s v="Medium"/>
    <x v="199"/>
    <n v="120"/>
    <n v="20"/>
    <n v="31580"/>
    <x v="163"/>
    <x v="203"/>
    <n v="15790"/>
    <n v="12632"/>
  </r>
  <r>
    <x v="3"/>
    <s v="Medium"/>
    <x v="189"/>
    <n v="120"/>
    <n v="125"/>
    <n v="107625"/>
    <x v="153"/>
    <x v="193"/>
    <n v="103320"/>
    <n v="-6457.5"/>
  </r>
  <r>
    <x v="3"/>
    <s v="Medium"/>
    <x v="190"/>
    <n v="120"/>
    <n v="125"/>
    <n v="88000"/>
    <x v="154"/>
    <x v="194"/>
    <n v="84480"/>
    <n v="-5280"/>
  </r>
  <r>
    <x v="3"/>
    <s v="Medium"/>
    <x v="200"/>
    <n v="120"/>
    <n v="20"/>
    <n v="20660"/>
    <x v="164"/>
    <x v="204"/>
    <n v="10330"/>
    <n v="8264"/>
  </r>
  <r>
    <x v="3"/>
    <s v="Medium"/>
    <x v="201"/>
    <n v="120"/>
    <n v="300"/>
    <n v="375000"/>
    <x v="165"/>
    <x v="205"/>
    <n v="312500"/>
    <n v="25000"/>
  </r>
  <r>
    <x v="4"/>
    <s v="Medium"/>
    <x v="188"/>
    <n v="250"/>
    <n v="20"/>
    <n v="27780"/>
    <x v="152"/>
    <x v="192"/>
    <n v="13890"/>
    <n v="11112"/>
  </r>
  <r>
    <x v="4"/>
    <s v="Medium"/>
    <x v="202"/>
    <n v="250"/>
    <n v="20"/>
    <n v="25300"/>
    <x v="166"/>
    <x v="206"/>
    <n v="12650"/>
    <n v="10120"/>
  </r>
  <r>
    <x v="4"/>
    <s v="Medium"/>
    <x v="203"/>
    <n v="250"/>
    <n v="20"/>
    <n v="45940"/>
    <x v="167"/>
    <x v="207"/>
    <n v="22970"/>
    <n v="18376"/>
  </r>
  <r>
    <x v="4"/>
    <s v="Medium"/>
    <x v="192"/>
    <n v="250"/>
    <n v="20"/>
    <n v="53260"/>
    <x v="156"/>
    <x v="196"/>
    <n v="26630"/>
    <n v="21304"/>
  </r>
  <r>
    <x v="4"/>
    <s v="Medium"/>
    <x v="173"/>
    <n v="250"/>
    <n v="7"/>
    <n v="3990"/>
    <x v="137"/>
    <x v="177"/>
    <n v="2850"/>
    <n v="741"/>
  </r>
  <r>
    <x v="4"/>
    <s v="Medium"/>
    <x v="174"/>
    <n v="250"/>
    <n v="7"/>
    <n v="17409"/>
    <x v="138"/>
    <x v="178"/>
    <n v="12435"/>
    <n v="3233.1000000000004"/>
  </r>
  <r>
    <x v="5"/>
    <s v="Medium"/>
    <x v="204"/>
    <n v="260"/>
    <n v="350"/>
    <n v="472500"/>
    <x v="168"/>
    <x v="208"/>
    <n v="351000"/>
    <n v="74250"/>
  </r>
  <r>
    <x v="5"/>
    <s v="Medium"/>
    <x v="205"/>
    <n v="260"/>
    <n v="350"/>
    <n v="193200"/>
    <x v="169"/>
    <x v="209"/>
    <n v="143520"/>
    <n v="30360"/>
  </r>
  <r>
    <x v="5"/>
    <s v="Medium"/>
    <x v="187"/>
    <n v="260"/>
    <n v="350"/>
    <n v="429800"/>
    <x v="151"/>
    <x v="191"/>
    <n v="319280"/>
    <n v="67540"/>
  </r>
  <r>
    <x v="5"/>
    <s v="Medium"/>
    <x v="201"/>
    <n v="260"/>
    <n v="300"/>
    <n v="375000"/>
    <x v="165"/>
    <x v="205"/>
    <n v="312500"/>
    <n v="25000"/>
  </r>
  <r>
    <x v="2"/>
    <s v="Medium"/>
    <x v="206"/>
    <n v="10"/>
    <n v="15"/>
    <n v="57015"/>
    <x v="170"/>
    <x v="210"/>
    <n v="38010"/>
    <n v="13303.5"/>
  </r>
  <r>
    <x v="0"/>
    <s v="Medium"/>
    <x v="207"/>
    <n v="3"/>
    <n v="20"/>
    <n v="22350"/>
    <x v="171"/>
    <x v="211"/>
    <n v="11175"/>
    <n v="8940"/>
  </r>
  <r>
    <x v="0"/>
    <s v="Medium"/>
    <x v="126"/>
    <n v="3"/>
    <n v="15"/>
    <n v="42660"/>
    <x v="172"/>
    <x v="212"/>
    <n v="28440"/>
    <n v="9954"/>
  </r>
  <r>
    <x v="0"/>
    <s v="Medium"/>
    <x v="208"/>
    <n v="3"/>
    <n v="12"/>
    <n v="6744"/>
    <x v="173"/>
    <x v="213"/>
    <n v="1686"/>
    <n v="4383.6000000000004"/>
  </r>
  <r>
    <x v="0"/>
    <s v="Medium"/>
    <x v="209"/>
    <n v="3"/>
    <n v="12"/>
    <n v="27588"/>
    <x v="174"/>
    <x v="214"/>
    <n v="6897"/>
    <n v="17932.2"/>
  </r>
  <r>
    <x v="0"/>
    <s v="Medium"/>
    <x v="210"/>
    <n v="3"/>
    <n v="15"/>
    <n v="30450"/>
    <x v="175"/>
    <x v="215"/>
    <n v="20300"/>
    <n v="7105"/>
  </r>
  <r>
    <x v="0"/>
    <s v="Medium"/>
    <x v="73"/>
    <n v="3"/>
    <n v="7"/>
    <n v="1841"/>
    <x v="176"/>
    <x v="216"/>
    <n v="1315"/>
    <n v="341.90000000000009"/>
  </r>
  <r>
    <x v="0"/>
    <s v="Medium"/>
    <x v="211"/>
    <n v="3"/>
    <n v="125"/>
    <n v="110875"/>
    <x v="83"/>
    <x v="217"/>
    <n v="106440"/>
    <n v="-6652.5"/>
  </r>
  <r>
    <x v="1"/>
    <s v="Medium"/>
    <x v="212"/>
    <n v="5"/>
    <n v="350"/>
    <n v="343000"/>
    <x v="177"/>
    <x v="218"/>
    <n v="254800"/>
    <n v="53900"/>
  </r>
  <r>
    <x v="1"/>
    <s v="Medium"/>
    <x v="213"/>
    <n v="5"/>
    <n v="350"/>
    <n v="511000"/>
    <x v="178"/>
    <x v="219"/>
    <n v="379600"/>
    <n v="80300"/>
  </r>
  <r>
    <x v="1"/>
    <s v="Medium"/>
    <x v="214"/>
    <n v="5"/>
    <n v="7"/>
    <n v="9821"/>
    <x v="179"/>
    <x v="220"/>
    <n v="7015"/>
    <n v="1823.8999999999996"/>
  </r>
  <r>
    <x v="1"/>
    <s v="Medium"/>
    <x v="215"/>
    <n v="5"/>
    <n v="12"/>
    <n v="32676"/>
    <x v="180"/>
    <x v="221"/>
    <n v="8169"/>
    <n v="21239.4"/>
  </r>
  <r>
    <x v="2"/>
    <s v="Medium"/>
    <x v="216"/>
    <n v="10"/>
    <n v="350"/>
    <n v="523600"/>
    <x v="181"/>
    <x v="222"/>
    <n v="388960"/>
    <n v="82280"/>
  </r>
  <r>
    <x v="2"/>
    <s v="Medium"/>
    <x v="209"/>
    <n v="10"/>
    <n v="12"/>
    <n v="27588"/>
    <x v="174"/>
    <x v="214"/>
    <n v="6897"/>
    <n v="17932.2"/>
  </r>
  <r>
    <x v="2"/>
    <s v="Medium"/>
    <x v="64"/>
    <n v="10"/>
    <n v="350"/>
    <n v="254450"/>
    <x v="182"/>
    <x v="223"/>
    <n v="189020"/>
    <n v="39985"/>
  </r>
  <r>
    <x v="3"/>
    <s v="Medium"/>
    <x v="217"/>
    <n v="120"/>
    <n v="125"/>
    <n v="119000"/>
    <x v="183"/>
    <x v="224"/>
    <n v="114240"/>
    <n v="-7140"/>
  </r>
  <r>
    <x v="3"/>
    <s v="Medium"/>
    <x v="218"/>
    <n v="120"/>
    <n v="125"/>
    <n v="344375"/>
    <x v="184"/>
    <x v="225"/>
    <n v="330600"/>
    <n v="-20662.5"/>
  </r>
  <r>
    <x v="3"/>
    <s v="Medium"/>
    <x v="219"/>
    <n v="120"/>
    <n v="15"/>
    <n v="22950"/>
    <x v="185"/>
    <x v="226"/>
    <n v="15300"/>
    <n v="5355"/>
  </r>
  <r>
    <x v="3"/>
    <s v="Medium"/>
    <x v="216"/>
    <n v="120"/>
    <n v="350"/>
    <n v="523600"/>
    <x v="181"/>
    <x v="222"/>
    <n v="388960"/>
    <n v="82280"/>
  </r>
  <r>
    <x v="3"/>
    <s v="Medium"/>
    <x v="220"/>
    <n v="120"/>
    <n v="7"/>
    <n v="10486"/>
    <x v="186"/>
    <x v="227"/>
    <n v="7490"/>
    <n v="1947.3999999999996"/>
  </r>
  <r>
    <x v="3"/>
    <s v="Medium"/>
    <x v="221"/>
    <n v="120"/>
    <n v="300"/>
    <n v="366300"/>
    <x v="187"/>
    <x v="228"/>
    <n v="305250"/>
    <n v="24420"/>
  </r>
  <r>
    <x v="3"/>
    <s v="Medium"/>
    <x v="222"/>
    <n v="120"/>
    <n v="350"/>
    <n v="726600"/>
    <x v="188"/>
    <x v="229"/>
    <n v="539760"/>
    <n v="114180"/>
  </r>
  <r>
    <x v="4"/>
    <s v="Medium"/>
    <x v="126"/>
    <n v="250"/>
    <n v="15"/>
    <n v="42660"/>
    <x v="172"/>
    <x v="212"/>
    <n v="28440"/>
    <n v="9954"/>
  </r>
  <r>
    <x v="4"/>
    <s v="Medium"/>
    <x v="220"/>
    <n v="250"/>
    <n v="7"/>
    <n v="10486"/>
    <x v="186"/>
    <x v="227"/>
    <n v="7490"/>
    <n v="1947.3999999999996"/>
  </r>
  <r>
    <x v="4"/>
    <s v="Medium"/>
    <x v="221"/>
    <n v="250"/>
    <n v="300"/>
    <n v="366300"/>
    <x v="187"/>
    <x v="228"/>
    <n v="305250"/>
    <n v="24420"/>
  </r>
  <r>
    <x v="4"/>
    <s v="Medium"/>
    <x v="167"/>
    <n v="250"/>
    <n v="20"/>
    <n v="22460"/>
    <x v="189"/>
    <x v="230"/>
    <n v="11230"/>
    <n v="8984"/>
  </r>
  <r>
    <x v="4"/>
    <s v="Medium"/>
    <x v="223"/>
    <n v="250"/>
    <n v="300"/>
    <n v="730800"/>
    <x v="190"/>
    <x v="231"/>
    <n v="609000"/>
    <n v="48720"/>
  </r>
  <r>
    <x v="5"/>
    <s v="Medium"/>
    <x v="224"/>
    <n v="260"/>
    <n v="125"/>
    <n v="248437.5"/>
    <x v="191"/>
    <x v="232"/>
    <n v="238500"/>
    <n v="-14906.25"/>
  </r>
  <r>
    <x v="5"/>
    <s v="Medium"/>
    <x v="225"/>
    <n v="260"/>
    <n v="350"/>
    <n v="587650"/>
    <x v="192"/>
    <x v="233"/>
    <n v="436540"/>
    <n v="92345"/>
  </r>
  <r>
    <x v="5"/>
    <s v="Medium"/>
    <x v="64"/>
    <n v="260"/>
    <n v="350"/>
    <n v="254450"/>
    <x v="182"/>
    <x v="223"/>
    <n v="189020"/>
    <n v="39985"/>
  </r>
  <r>
    <x v="5"/>
    <s v="Medium"/>
    <x v="214"/>
    <n v="260"/>
    <n v="7"/>
    <n v="9821"/>
    <x v="179"/>
    <x v="220"/>
    <n v="7015"/>
    <n v="1823.8999999999996"/>
  </r>
  <r>
    <x v="5"/>
    <s v="Medium"/>
    <x v="222"/>
    <n v="260"/>
    <n v="350"/>
    <n v="726600"/>
    <x v="188"/>
    <x v="229"/>
    <n v="539760"/>
    <n v="114180"/>
  </r>
  <r>
    <x v="1"/>
    <s v="Medium"/>
    <x v="226"/>
    <n v="5"/>
    <n v="20"/>
    <n v="35140"/>
    <x v="193"/>
    <x v="234"/>
    <n v="17570"/>
    <n v="14056"/>
  </r>
  <r>
    <x v="2"/>
    <s v="Medium"/>
    <x v="227"/>
    <n v="10"/>
    <n v="15"/>
    <n v="32970"/>
    <x v="194"/>
    <x v="235"/>
    <n v="21980"/>
    <n v="7693"/>
  </r>
  <r>
    <x v="2"/>
    <s v="Medium"/>
    <x v="228"/>
    <n v="10"/>
    <n v="15"/>
    <n v="26145"/>
    <x v="195"/>
    <x v="236"/>
    <n v="17430"/>
    <n v="6100.5"/>
  </r>
  <r>
    <x v="2"/>
    <s v="Medium"/>
    <x v="229"/>
    <n v="10"/>
    <n v="15"/>
    <n v="17295"/>
    <x v="196"/>
    <x v="237"/>
    <n v="11530"/>
    <n v="4035.5"/>
  </r>
  <r>
    <x v="2"/>
    <s v="Medium"/>
    <x v="226"/>
    <n v="10"/>
    <n v="20"/>
    <n v="35140"/>
    <x v="193"/>
    <x v="234"/>
    <n v="17570"/>
    <n v="14056"/>
  </r>
  <r>
    <x v="3"/>
    <s v="Medium"/>
    <x v="230"/>
    <n v="120"/>
    <n v="20"/>
    <n v="20020"/>
    <x v="197"/>
    <x v="238"/>
    <n v="10010"/>
    <n v="8008"/>
  </r>
  <r>
    <x v="3"/>
    <s v="Medium"/>
    <x v="231"/>
    <n v="120"/>
    <n v="7"/>
    <n v="9331"/>
    <x v="198"/>
    <x v="239"/>
    <n v="6665"/>
    <n v="1732.8999999999996"/>
  </r>
  <r>
    <x v="4"/>
    <s v="Medium"/>
    <x v="229"/>
    <n v="250"/>
    <n v="15"/>
    <n v="17295"/>
    <x v="196"/>
    <x v="237"/>
    <n v="11530"/>
    <n v="4035.5"/>
  </r>
  <r>
    <x v="0"/>
    <s v="Medium"/>
    <x v="64"/>
    <n v="3"/>
    <n v="12"/>
    <n v="8724"/>
    <x v="199"/>
    <x v="240"/>
    <n v="2181"/>
    <n v="5670.6"/>
  </r>
  <r>
    <x v="0"/>
    <s v="Medium"/>
    <x v="232"/>
    <n v="3"/>
    <n v="12"/>
    <n v="22608"/>
    <x v="200"/>
    <x v="241"/>
    <n v="5652"/>
    <n v="14695.2"/>
  </r>
  <r>
    <x v="0"/>
    <s v="Medium"/>
    <x v="233"/>
    <n v="3"/>
    <n v="20"/>
    <n v="36680"/>
    <x v="201"/>
    <x v="242"/>
    <n v="18340"/>
    <n v="14672"/>
  </r>
  <r>
    <x v="1"/>
    <s v="Medium"/>
    <x v="234"/>
    <n v="5"/>
    <n v="12"/>
    <n v="28080"/>
    <x v="202"/>
    <x v="243"/>
    <n v="7020"/>
    <n v="18252"/>
  </r>
  <r>
    <x v="1"/>
    <s v="Medium"/>
    <x v="178"/>
    <n v="5"/>
    <n v="12"/>
    <n v="28104"/>
    <x v="142"/>
    <x v="182"/>
    <n v="7026"/>
    <n v="18267.599999999999"/>
  </r>
  <r>
    <x v="2"/>
    <s v="Medium"/>
    <x v="235"/>
    <n v="10"/>
    <n v="7"/>
    <n v="7217"/>
    <x v="203"/>
    <x v="244"/>
    <n v="5155"/>
    <n v="1340.3000000000002"/>
  </r>
  <r>
    <x v="3"/>
    <s v="Medium"/>
    <x v="236"/>
    <n v="120"/>
    <n v="15"/>
    <n v="18930"/>
    <x v="204"/>
    <x v="245"/>
    <n v="12620"/>
    <n v="4417"/>
  </r>
  <r>
    <x v="3"/>
    <s v="Medium"/>
    <x v="237"/>
    <n v="120"/>
    <n v="7"/>
    <n v="7945"/>
    <x v="205"/>
    <x v="246"/>
    <n v="5675"/>
    <n v="1475.5"/>
  </r>
  <r>
    <x v="3"/>
    <s v="Medium"/>
    <x v="238"/>
    <n v="120"/>
    <n v="7"/>
    <n v="3829"/>
    <x v="206"/>
    <x v="247"/>
    <n v="2735"/>
    <n v="711.09999999999991"/>
  </r>
  <r>
    <x v="3"/>
    <s v="Medium"/>
    <x v="239"/>
    <n v="120"/>
    <n v="7"/>
    <n v="11074"/>
    <x v="207"/>
    <x v="248"/>
    <n v="7910"/>
    <n v="2056.6000000000004"/>
  </r>
  <r>
    <x v="4"/>
    <s v="Medium"/>
    <x v="240"/>
    <n v="250"/>
    <n v="12"/>
    <n v="20862"/>
    <x v="208"/>
    <x v="249"/>
    <n v="5215.5"/>
    <n v="13560.3"/>
  </r>
  <r>
    <x v="4"/>
    <s v="Medium"/>
    <x v="241"/>
    <n v="250"/>
    <n v="12"/>
    <n v="26580"/>
    <x v="209"/>
    <x v="250"/>
    <n v="6645"/>
    <n v="17277"/>
  </r>
  <r>
    <x v="4"/>
    <s v="Medium"/>
    <x v="239"/>
    <n v="250"/>
    <n v="7"/>
    <n v="11074"/>
    <x v="207"/>
    <x v="248"/>
    <n v="7910"/>
    <n v="2056.6000000000004"/>
  </r>
  <r>
    <x v="5"/>
    <s v="Medium"/>
    <x v="237"/>
    <n v="260"/>
    <n v="7"/>
    <n v="7945"/>
    <x v="205"/>
    <x v="246"/>
    <n v="5675"/>
    <n v="1475.5"/>
  </r>
  <r>
    <x v="0"/>
    <s v="Medium"/>
    <x v="242"/>
    <n v="3"/>
    <n v="350"/>
    <n v="616350"/>
    <x v="210"/>
    <x v="251"/>
    <n v="457860"/>
    <n v="96855"/>
  </r>
  <r>
    <x v="0"/>
    <s v="Medium"/>
    <x v="243"/>
    <n v="3"/>
    <n v="300"/>
    <n v="134400"/>
    <x v="211"/>
    <x v="252"/>
    <n v="112000"/>
    <n v="8960"/>
  </r>
  <r>
    <x v="0"/>
    <s v="Medium"/>
    <x v="244"/>
    <n v="3"/>
    <n v="300"/>
    <n v="654300"/>
    <x v="212"/>
    <x v="253"/>
    <n v="545250"/>
    <n v="43620"/>
  </r>
  <r>
    <x v="1"/>
    <s v="Medium"/>
    <x v="245"/>
    <n v="5"/>
    <n v="20"/>
    <n v="39520"/>
    <x v="213"/>
    <x v="254"/>
    <n v="19760"/>
    <n v="15808"/>
  </r>
  <r>
    <x v="1"/>
    <s v="Medium"/>
    <x v="244"/>
    <n v="5"/>
    <n v="300"/>
    <n v="654300"/>
    <x v="212"/>
    <x v="253"/>
    <n v="545250"/>
    <n v="43620"/>
  </r>
  <r>
    <x v="1"/>
    <s v="Medium"/>
    <x v="246"/>
    <n v="5"/>
    <n v="125"/>
    <n v="312500"/>
    <x v="214"/>
    <x v="255"/>
    <n v="300000"/>
    <n v="-18750"/>
  </r>
  <r>
    <x v="2"/>
    <s v="Medium"/>
    <x v="247"/>
    <n v="10"/>
    <n v="300"/>
    <n v="510600"/>
    <x v="215"/>
    <x v="256"/>
    <n v="425500"/>
    <n v="34040"/>
  </r>
  <r>
    <x v="2"/>
    <s v="Medium"/>
    <x v="243"/>
    <n v="10"/>
    <n v="300"/>
    <n v="134400"/>
    <x v="211"/>
    <x v="252"/>
    <n v="112000"/>
    <n v="8960"/>
  </r>
  <r>
    <x v="2"/>
    <s v="Medium"/>
    <x v="248"/>
    <n v="10"/>
    <n v="125"/>
    <n v="439125"/>
    <x v="216"/>
    <x v="257"/>
    <n v="421560"/>
    <n v="-26347.5"/>
  </r>
  <r>
    <x v="2"/>
    <s v="Medium"/>
    <x v="249"/>
    <n v="10"/>
    <n v="15"/>
    <n v="31515"/>
    <x v="217"/>
    <x v="258"/>
    <n v="21010"/>
    <n v="7353.5"/>
  </r>
  <r>
    <x v="2"/>
    <s v="Medium"/>
    <x v="250"/>
    <n v="10"/>
    <n v="15"/>
    <n v="43965"/>
    <x v="218"/>
    <x v="259"/>
    <n v="29310"/>
    <n v="10258.5"/>
  </r>
  <r>
    <x v="2"/>
    <s v="Medium"/>
    <x v="251"/>
    <n v="10"/>
    <n v="20"/>
    <n v="30700"/>
    <x v="219"/>
    <x v="260"/>
    <n v="15350"/>
    <n v="12280"/>
  </r>
  <r>
    <x v="2"/>
    <s v="Medium"/>
    <x v="167"/>
    <n v="10"/>
    <n v="300"/>
    <n v="336900"/>
    <x v="220"/>
    <x v="261"/>
    <n v="280750"/>
    <n v="22460"/>
  </r>
  <r>
    <x v="2"/>
    <s v="Medium"/>
    <x v="252"/>
    <n v="10"/>
    <n v="300"/>
    <n v="421200"/>
    <x v="221"/>
    <x v="262"/>
    <n v="351000"/>
    <n v="28080"/>
  </r>
  <r>
    <x v="2"/>
    <s v="Medium"/>
    <x v="253"/>
    <n v="10"/>
    <n v="12"/>
    <n v="33156"/>
    <x v="222"/>
    <x v="263"/>
    <n v="8289"/>
    <n v="21551.4"/>
  </r>
  <r>
    <x v="2"/>
    <s v="Medium"/>
    <x v="254"/>
    <n v="10"/>
    <n v="7"/>
    <n v="14875"/>
    <x v="223"/>
    <x v="264"/>
    <n v="10625"/>
    <n v="2762.5"/>
  </r>
  <r>
    <x v="3"/>
    <s v="Medium"/>
    <x v="255"/>
    <n v="120"/>
    <n v="300"/>
    <n v="497700"/>
    <x v="224"/>
    <x v="265"/>
    <n v="414750"/>
    <n v="33180"/>
  </r>
  <r>
    <x v="3"/>
    <s v="Medium"/>
    <x v="256"/>
    <n v="120"/>
    <n v="20"/>
    <n v="12180"/>
    <x v="225"/>
    <x v="266"/>
    <n v="6090"/>
    <n v="4872"/>
  </r>
  <r>
    <x v="3"/>
    <s v="Medium"/>
    <x v="257"/>
    <n v="120"/>
    <n v="125"/>
    <n v="260875"/>
    <x v="226"/>
    <x v="267"/>
    <n v="250440"/>
    <n v="-15652.5"/>
  </r>
  <r>
    <x v="3"/>
    <s v="Medium"/>
    <x v="245"/>
    <n v="120"/>
    <n v="20"/>
    <n v="39520"/>
    <x v="213"/>
    <x v="254"/>
    <n v="19760"/>
    <n v="15808"/>
  </r>
  <r>
    <x v="3"/>
    <s v="Medium"/>
    <x v="258"/>
    <n v="120"/>
    <n v="20"/>
    <n v="28420"/>
    <x v="227"/>
    <x v="268"/>
    <n v="14210"/>
    <n v="11368"/>
  </r>
  <r>
    <x v="3"/>
    <s v="Medium"/>
    <x v="162"/>
    <n v="120"/>
    <n v="300"/>
    <n v="411600"/>
    <x v="228"/>
    <x v="269"/>
    <n v="343000"/>
    <n v="27440"/>
  </r>
  <r>
    <x v="3"/>
    <s v="Medium"/>
    <x v="259"/>
    <n v="120"/>
    <n v="20"/>
    <n v="11760"/>
    <x v="229"/>
    <x v="270"/>
    <n v="5880"/>
    <n v="4704"/>
  </r>
  <r>
    <x v="4"/>
    <s v="Medium"/>
    <x v="260"/>
    <n v="250"/>
    <n v="12"/>
    <n v="38934"/>
    <x v="230"/>
    <x v="271"/>
    <n v="9733.5"/>
    <n v="25307.1"/>
  </r>
  <r>
    <x v="4"/>
    <s v="Medium"/>
    <x v="261"/>
    <n v="250"/>
    <n v="300"/>
    <n v="287700"/>
    <x v="231"/>
    <x v="272"/>
    <n v="239750"/>
    <n v="19180"/>
  </r>
  <r>
    <x v="4"/>
    <s v="Medium"/>
    <x v="262"/>
    <n v="250"/>
    <n v="300"/>
    <n v="824100"/>
    <x v="232"/>
    <x v="273"/>
    <n v="686750"/>
    <n v="54940"/>
  </r>
  <r>
    <x v="5"/>
    <s v="Medium"/>
    <x v="263"/>
    <n v="260"/>
    <n v="125"/>
    <n v="205625"/>
    <x v="233"/>
    <x v="274"/>
    <n v="197400"/>
    <n v="-12337.5"/>
  </r>
  <r>
    <x v="5"/>
    <s v="Medium"/>
    <x v="264"/>
    <n v="260"/>
    <n v="350"/>
    <n v="1006600"/>
    <x v="234"/>
    <x v="275"/>
    <n v="747760"/>
    <n v="158180"/>
  </r>
  <r>
    <x v="5"/>
    <s v="Medium"/>
    <x v="265"/>
    <n v="260"/>
    <n v="125"/>
    <n v="124250"/>
    <x v="235"/>
    <x v="276"/>
    <n v="119280"/>
    <n v="-7455"/>
  </r>
  <r>
    <x v="5"/>
    <s v="Medium"/>
    <x v="266"/>
    <n v="260"/>
    <n v="20"/>
    <n v="22360"/>
    <x v="236"/>
    <x v="277"/>
    <n v="11180"/>
    <n v="8944"/>
  </r>
  <r>
    <x v="5"/>
    <s v="Medium"/>
    <x v="162"/>
    <n v="260"/>
    <n v="300"/>
    <n v="411600"/>
    <x v="228"/>
    <x v="269"/>
    <n v="343000"/>
    <n v="27440"/>
  </r>
  <r>
    <x v="1"/>
    <s v="Medium"/>
    <x v="267"/>
    <n v="5"/>
    <n v="7"/>
    <n v="3416"/>
    <x v="237"/>
    <x v="278"/>
    <n v="2440"/>
    <n v="634.40000000000009"/>
  </r>
  <r>
    <x v="1"/>
    <s v="Medium"/>
    <x v="268"/>
    <n v="5"/>
    <n v="20"/>
    <n v="25640"/>
    <x v="238"/>
    <x v="279"/>
    <n v="12820"/>
    <n v="10256"/>
  </r>
  <r>
    <x v="2"/>
    <s v="Medium"/>
    <x v="269"/>
    <n v="10"/>
    <n v="7"/>
    <n v="1799"/>
    <x v="239"/>
    <x v="280"/>
    <n v="1285"/>
    <n v="334.09999999999991"/>
  </r>
  <r>
    <x v="5"/>
    <s v="Medium"/>
    <x v="268"/>
    <n v="260"/>
    <n v="20"/>
    <n v="25640"/>
    <x v="238"/>
    <x v="279"/>
    <n v="12820"/>
    <n v="10256"/>
  </r>
  <r>
    <x v="0"/>
    <s v="Medium"/>
    <x v="270"/>
    <n v="3"/>
    <n v="125"/>
    <n v="192500"/>
    <x v="240"/>
    <x v="281"/>
    <n v="184800"/>
    <n v="-11550"/>
  </r>
  <r>
    <x v="0"/>
    <s v="Medium"/>
    <x v="271"/>
    <n v="3"/>
    <n v="15"/>
    <n v="7350"/>
    <x v="241"/>
    <x v="282"/>
    <n v="4900"/>
    <n v="1715"/>
  </r>
  <r>
    <x v="0"/>
    <s v="Medium"/>
    <x v="272"/>
    <n v="3"/>
    <n v="350"/>
    <n v="476700"/>
    <x v="242"/>
    <x v="283"/>
    <n v="354120"/>
    <n v="74910"/>
  </r>
  <r>
    <x v="1"/>
    <s v="Medium"/>
    <x v="273"/>
    <n v="5"/>
    <n v="15"/>
    <n v="37515"/>
    <x v="243"/>
    <x v="284"/>
    <n v="25010"/>
    <n v="8753.5"/>
  </r>
  <r>
    <x v="1"/>
    <s v="Medium"/>
    <x v="274"/>
    <n v="5"/>
    <n v="20"/>
    <n v="14160"/>
    <x v="244"/>
    <x v="285"/>
    <n v="7080"/>
    <n v="5664"/>
  </r>
  <r>
    <x v="1"/>
    <s v="Medium"/>
    <x v="275"/>
    <n v="5"/>
    <n v="20"/>
    <n v="12900"/>
    <x v="245"/>
    <x v="286"/>
    <n v="6450"/>
    <n v="5160"/>
  </r>
  <r>
    <x v="1"/>
    <s v="Medium"/>
    <x v="276"/>
    <n v="5"/>
    <n v="300"/>
    <n v="468600"/>
    <x v="246"/>
    <x v="287"/>
    <n v="390500"/>
    <n v="31240"/>
  </r>
  <r>
    <x v="1"/>
    <s v="Medium"/>
    <x v="277"/>
    <n v="5"/>
    <n v="300"/>
    <n v="384900"/>
    <x v="247"/>
    <x v="288"/>
    <n v="320750"/>
    <n v="25660"/>
  </r>
  <r>
    <x v="1"/>
    <s v="Medium"/>
    <x v="278"/>
    <n v="5"/>
    <n v="15"/>
    <n v="10665"/>
    <x v="248"/>
    <x v="289"/>
    <n v="7110"/>
    <n v="2488.5"/>
  </r>
  <r>
    <x v="2"/>
    <s v="Medium"/>
    <x v="279"/>
    <n v="10"/>
    <n v="125"/>
    <n v="139250"/>
    <x v="249"/>
    <x v="290"/>
    <n v="133680"/>
    <n v="-8355"/>
  </r>
  <r>
    <x v="2"/>
    <s v="Medium"/>
    <x v="280"/>
    <n v="10"/>
    <n v="7"/>
    <n v="8813"/>
    <x v="250"/>
    <x v="291"/>
    <n v="6295"/>
    <n v="1636.6999999999998"/>
  </r>
  <r>
    <x v="2"/>
    <s v="Medium"/>
    <x v="281"/>
    <n v="10"/>
    <n v="7"/>
    <n v="7665"/>
    <x v="251"/>
    <x v="292"/>
    <n v="5475"/>
    <n v="1423.5"/>
  </r>
  <r>
    <x v="2"/>
    <s v="Medium"/>
    <x v="282"/>
    <n v="10"/>
    <n v="20"/>
    <n v="27320"/>
    <x v="252"/>
    <x v="293"/>
    <n v="13660"/>
    <n v="10928"/>
  </r>
  <r>
    <x v="2"/>
    <s v="Medium"/>
    <x v="283"/>
    <n v="10"/>
    <n v="300"/>
    <n v="738000"/>
    <x v="253"/>
    <x v="294"/>
    <n v="615000"/>
    <n v="49200"/>
  </r>
  <r>
    <x v="2"/>
    <s v="Medium"/>
    <x v="284"/>
    <n v="10"/>
    <n v="7"/>
    <n v="4746"/>
    <x v="254"/>
    <x v="295"/>
    <n v="3390"/>
    <n v="881.39999999999964"/>
  </r>
  <r>
    <x v="2"/>
    <s v="Medium"/>
    <x v="285"/>
    <n v="10"/>
    <n v="7"/>
    <n v="11186"/>
    <x v="255"/>
    <x v="296"/>
    <n v="7990"/>
    <n v="2077.3999999999996"/>
  </r>
  <r>
    <x v="2"/>
    <s v="Medium"/>
    <x v="286"/>
    <n v="10"/>
    <n v="7"/>
    <n v="16863"/>
    <x v="256"/>
    <x v="297"/>
    <n v="12045"/>
    <n v="3131.7000000000007"/>
  </r>
  <r>
    <x v="2"/>
    <s v="Medium"/>
    <x v="287"/>
    <n v="10"/>
    <n v="20"/>
    <n v="38680"/>
    <x v="257"/>
    <x v="298"/>
    <n v="19340"/>
    <n v="15472"/>
  </r>
  <r>
    <x v="2"/>
    <s v="Medium"/>
    <x v="288"/>
    <n v="10"/>
    <n v="20"/>
    <n v="59860"/>
    <x v="258"/>
    <x v="299"/>
    <n v="29930"/>
    <n v="23944"/>
  </r>
  <r>
    <x v="2"/>
    <s v="Medium"/>
    <x v="12"/>
    <n v="10"/>
    <n v="350"/>
    <n v="751100"/>
    <x v="259"/>
    <x v="300"/>
    <n v="557960"/>
    <n v="118030"/>
  </r>
  <r>
    <x v="2"/>
    <s v="Medium"/>
    <x v="289"/>
    <n v="10"/>
    <n v="7"/>
    <n v="13622"/>
    <x v="260"/>
    <x v="301"/>
    <n v="9730"/>
    <n v="2529.7999999999993"/>
  </r>
  <r>
    <x v="2"/>
    <s v="Medium"/>
    <x v="272"/>
    <n v="10"/>
    <n v="350"/>
    <n v="476700"/>
    <x v="242"/>
    <x v="283"/>
    <n v="354120"/>
    <n v="74910"/>
  </r>
  <r>
    <x v="3"/>
    <s v="Medium"/>
    <x v="290"/>
    <n v="120"/>
    <n v="12"/>
    <n v="7176"/>
    <x v="261"/>
    <x v="302"/>
    <n v="1794"/>
    <n v="4664.3999999999996"/>
  </r>
  <r>
    <x v="3"/>
    <s v="Medium"/>
    <x v="291"/>
    <n v="120"/>
    <n v="7"/>
    <n v="20349"/>
    <x v="262"/>
    <x v="303"/>
    <n v="14535"/>
    <n v="3779.0999999999985"/>
  </r>
  <r>
    <x v="3"/>
    <s v="Medium"/>
    <x v="292"/>
    <n v="120"/>
    <n v="7"/>
    <n v="16366"/>
    <x v="263"/>
    <x v="304"/>
    <n v="11690"/>
    <n v="3039.3999999999996"/>
  </r>
  <r>
    <x v="3"/>
    <s v="Medium"/>
    <x v="293"/>
    <n v="120"/>
    <n v="300"/>
    <n v="115800"/>
    <x v="264"/>
    <x v="305"/>
    <n v="96500"/>
    <n v="7720"/>
  </r>
  <r>
    <x v="3"/>
    <s v="Medium"/>
    <x v="294"/>
    <n v="120"/>
    <n v="300"/>
    <n v="190500"/>
    <x v="265"/>
    <x v="306"/>
    <n v="158750"/>
    <n v="12700"/>
  </r>
  <r>
    <x v="4"/>
    <s v="Medium"/>
    <x v="295"/>
    <n v="250"/>
    <n v="350"/>
    <n v="201075"/>
    <x v="266"/>
    <x v="307"/>
    <n v="149370"/>
    <n v="31597.5"/>
  </r>
  <r>
    <x v="4"/>
    <s v="Medium"/>
    <x v="292"/>
    <n v="250"/>
    <n v="7"/>
    <n v="16366"/>
    <x v="263"/>
    <x v="304"/>
    <n v="11690"/>
    <n v="3039.3999999999996"/>
  </r>
  <r>
    <x v="4"/>
    <s v="Medium"/>
    <x v="296"/>
    <n v="250"/>
    <n v="350"/>
    <n v="133350"/>
    <x v="267"/>
    <x v="308"/>
    <n v="99060"/>
    <n v="20955"/>
  </r>
  <r>
    <x v="4"/>
    <s v="Medium"/>
    <x v="297"/>
    <n v="250"/>
    <n v="350"/>
    <n v="147700"/>
    <x v="268"/>
    <x v="309"/>
    <n v="109720"/>
    <n v="23210"/>
  </r>
  <r>
    <x v="4"/>
    <s v="Medium"/>
    <x v="298"/>
    <n v="250"/>
    <n v="300"/>
    <n v="640200"/>
    <x v="269"/>
    <x v="310"/>
    <n v="533500"/>
    <n v="42680"/>
  </r>
  <r>
    <x v="4"/>
    <s v="Medium"/>
    <x v="299"/>
    <n v="250"/>
    <n v="300"/>
    <n v="242400"/>
    <x v="270"/>
    <x v="311"/>
    <n v="202000"/>
    <n v="16160"/>
  </r>
  <r>
    <x v="5"/>
    <s v="Medium"/>
    <x v="274"/>
    <n v="260"/>
    <n v="20"/>
    <n v="14160"/>
    <x v="244"/>
    <x v="285"/>
    <n v="7080"/>
    <n v="5664"/>
  </r>
  <r>
    <x v="5"/>
    <s v="Medium"/>
    <x v="291"/>
    <n v="260"/>
    <n v="7"/>
    <n v="20349"/>
    <x v="262"/>
    <x v="303"/>
    <n v="14535"/>
    <n v="3779.0999999999985"/>
  </r>
  <r>
    <x v="5"/>
    <s v="Medium"/>
    <x v="282"/>
    <n v="260"/>
    <n v="20"/>
    <n v="27320"/>
    <x v="252"/>
    <x v="293"/>
    <n v="13660"/>
    <n v="10928"/>
  </r>
  <r>
    <x v="5"/>
    <s v="Medium"/>
    <x v="283"/>
    <n v="260"/>
    <n v="300"/>
    <n v="738000"/>
    <x v="253"/>
    <x v="294"/>
    <n v="615000"/>
    <n v="49200"/>
  </r>
  <r>
    <x v="5"/>
    <s v="Medium"/>
    <x v="300"/>
    <n v="260"/>
    <n v="20"/>
    <n v="30400"/>
    <x v="271"/>
    <x v="312"/>
    <n v="15200"/>
    <n v="12160"/>
  </r>
  <r>
    <x v="5"/>
    <s v="Medium"/>
    <x v="278"/>
    <n v="260"/>
    <n v="15"/>
    <n v="10665"/>
    <x v="248"/>
    <x v="289"/>
    <n v="7110"/>
    <n v="2488.5"/>
  </r>
  <r>
    <x v="5"/>
    <s v="Medium"/>
    <x v="301"/>
    <n v="260"/>
    <n v="12"/>
    <n v="16500"/>
    <x v="272"/>
    <x v="313"/>
    <n v="4125"/>
    <n v="10725"/>
  </r>
  <r>
    <x v="5"/>
    <s v="Medium"/>
    <x v="294"/>
    <n v="260"/>
    <n v="300"/>
    <n v="190500"/>
    <x v="265"/>
    <x v="306"/>
    <n v="158750"/>
    <n v="12700"/>
  </r>
  <r>
    <x v="4"/>
    <s v="Medium"/>
    <x v="302"/>
    <n v="250"/>
    <n v="20"/>
    <n v="8730"/>
    <x v="273"/>
    <x v="314"/>
    <n v="4365"/>
    <n v="3492"/>
  </r>
  <r>
    <x v="0"/>
    <s v="Medium"/>
    <x v="303"/>
    <n v="3"/>
    <n v="300"/>
    <n v="328200"/>
    <x v="274"/>
    <x v="315"/>
    <n v="273500"/>
    <n v="21880"/>
  </r>
  <r>
    <x v="0"/>
    <s v="Medium"/>
    <x v="18"/>
    <n v="3"/>
    <n v="12"/>
    <n v="4404"/>
    <x v="275"/>
    <x v="316"/>
    <n v="1101"/>
    <n v="2862.6"/>
  </r>
  <r>
    <x v="1"/>
    <s v="Medium"/>
    <x v="304"/>
    <n v="5"/>
    <n v="300"/>
    <n v="1140750"/>
    <x v="276"/>
    <x v="317"/>
    <n v="950625"/>
    <n v="76050"/>
  </r>
  <r>
    <x v="1"/>
    <s v="Medium"/>
    <x v="305"/>
    <n v="5"/>
    <n v="350"/>
    <n v="583100"/>
    <x v="277"/>
    <x v="318"/>
    <n v="433160"/>
    <n v="91630"/>
  </r>
  <r>
    <x v="1"/>
    <s v="Medium"/>
    <x v="306"/>
    <n v="5"/>
    <n v="300"/>
    <n v="96600"/>
    <x v="278"/>
    <x v="319"/>
    <n v="80500"/>
    <n v="6440"/>
  </r>
  <r>
    <x v="1"/>
    <s v="Medium"/>
    <x v="307"/>
    <n v="5"/>
    <n v="12"/>
    <n v="27852"/>
    <x v="279"/>
    <x v="320"/>
    <n v="6963"/>
    <n v="18103.8"/>
  </r>
  <r>
    <x v="1"/>
    <s v="Medium"/>
    <x v="308"/>
    <n v="5"/>
    <n v="125"/>
    <n v="232125"/>
    <x v="280"/>
    <x v="321"/>
    <n v="222840"/>
    <n v="-13927.5"/>
  </r>
  <r>
    <x v="1"/>
    <s v="Medium"/>
    <x v="309"/>
    <n v="5"/>
    <n v="7"/>
    <n v="11277"/>
    <x v="281"/>
    <x v="322"/>
    <n v="8055"/>
    <n v="2094.2999999999993"/>
  </r>
  <r>
    <x v="1"/>
    <s v="Medium"/>
    <x v="310"/>
    <n v="5"/>
    <n v="125"/>
    <n v="349625"/>
    <x v="282"/>
    <x v="323"/>
    <n v="335640"/>
    <n v="-20977.5"/>
  </r>
  <r>
    <x v="1"/>
    <s v="Medium"/>
    <x v="311"/>
    <n v="5"/>
    <n v="300"/>
    <n v="100200"/>
    <x v="283"/>
    <x v="324"/>
    <n v="83500"/>
    <n v="6680"/>
  </r>
  <r>
    <x v="2"/>
    <s v="Medium"/>
    <x v="312"/>
    <n v="10"/>
    <n v="300"/>
    <n v="769500"/>
    <x v="284"/>
    <x v="325"/>
    <n v="641250"/>
    <n v="51300"/>
  </r>
  <r>
    <x v="2"/>
    <s v="Medium"/>
    <x v="313"/>
    <n v="10"/>
    <n v="350"/>
    <n v="845950"/>
    <x v="285"/>
    <x v="326"/>
    <n v="628420"/>
    <n v="132935"/>
  </r>
  <r>
    <x v="2"/>
    <s v="Medium"/>
    <x v="314"/>
    <n v="10"/>
    <n v="15"/>
    <n v="55125"/>
    <x v="286"/>
    <x v="327"/>
    <n v="36750"/>
    <n v="12862.5"/>
  </r>
  <r>
    <x v="2"/>
    <s v="Medium"/>
    <x v="303"/>
    <n v="10"/>
    <n v="300"/>
    <n v="328200"/>
    <x v="274"/>
    <x v="315"/>
    <n v="273500"/>
    <n v="21880"/>
  </r>
  <r>
    <x v="2"/>
    <s v="Medium"/>
    <x v="315"/>
    <n v="10"/>
    <n v="15"/>
    <n v="18405"/>
    <x v="287"/>
    <x v="328"/>
    <n v="12270"/>
    <n v="4294.5"/>
  </r>
  <r>
    <x v="2"/>
    <s v="Medium"/>
    <x v="18"/>
    <n v="10"/>
    <n v="12"/>
    <n v="4404"/>
    <x v="275"/>
    <x v="316"/>
    <n v="1101"/>
    <n v="2862.6"/>
  </r>
  <r>
    <x v="2"/>
    <s v="Medium"/>
    <x v="316"/>
    <n v="10"/>
    <n v="300"/>
    <n v="397200"/>
    <x v="288"/>
    <x v="329"/>
    <n v="331000"/>
    <n v="26480"/>
  </r>
  <r>
    <x v="2"/>
    <s v="Medium"/>
    <x v="317"/>
    <n v="10"/>
    <n v="12"/>
    <n v="21300"/>
    <x v="289"/>
    <x v="330"/>
    <n v="5325"/>
    <n v="13845"/>
  </r>
  <r>
    <x v="2"/>
    <s v="Medium"/>
    <x v="310"/>
    <n v="10"/>
    <n v="125"/>
    <n v="349625"/>
    <x v="282"/>
    <x v="323"/>
    <n v="335640"/>
    <n v="-20977.5"/>
  </r>
  <r>
    <x v="3"/>
    <s v="Medium"/>
    <x v="318"/>
    <n v="120"/>
    <n v="15"/>
    <n v="3675"/>
    <x v="290"/>
    <x v="331"/>
    <n v="2450"/>
    <n v="857.5"/>
  </r>
  <r>
    <x v="3"/>
    <s v="Medium"/>
    <x v="319"/>
    <n v="120"/>
    <n v="300"/>
    <n v="1138050"/>
    <x v="291"/>
    <x v="332"/>
    <n v="948375"/>
    <n v="75870"/>
  </r>
  <r>
    <x v="3"/>
    <s v="Medium"/>
    <x v="320"/>
    <n v="120"/>
    <n v="350"/>
    <n v="457450"/>
    <x v="292"/>
    <x v="333"/>
    <n v="339820"/>
    <n v="71885"/>
  </r>
  <r>
    <x v="3"/>
    <s v="Medium"/>
    <x v="321"/>
    <n v="120"/>
    <n v="125"/>
    <n v="70875"/>
    <x v="293"/>
    <x v="334"/>
    <n v="68040"/>
    <n v="-4252.5"/>
  </r>
  <r>
    <x v="3"/>
    <s v="Medium"/>
    <x v="322"/>
    <n v="120"/>
    <n v="125"/>
    <n v="263750"/>
    <x v="294"/>
    <x v="335"/>
    <n v="253200"/>
    <n v="-15825"/>
  </r>
  <r>
    <x v="3"/>
    <s v="Medium"/>
    <x v="323"/>
    <n v="120"/>
    <n v="350"/>
    <n v="444150"/>
    <x v="295"/>
    <x v="336"/>
    <n v="329940"/>
    <n v="69795"/>
  </r>
  <r>
    <x v="4"/>
    <s v="Medium"/>
    <x v="324"/>
    <n v="250"/>
    <n v="12"/>
    <n v="23472"/>
    <x v="296"/>
    <x v="337"/>
    <n v="5868"/>
    <n v="15256.8"/>
  </r>
  <r>
    <x v="4"/>
    <s v="Medium"/>
    <x v="325"/>
    <n v="250"/>
    <n v="300"/>
    <n v="797700"/>
    <x v="297"/>
    <x v="338"/>
    <n v="664750"/>
    <n v="53180"/>
  </r>
  <r>
    <x v="4"/>
    <s v="Medium"/>
    <x v="326"/>
    <n v="250"/>
    <n v="350"/>
    <n v="473025"/>
    <x v="298"/>
    <x v="339"/>
    <n v="351390"/>
    <n v="74332.5"/>
  </r>
  <r>
    <x v="4"/>
    <s v="Medium"/>
    <x v="327"/>
    <n v="250"/>
    <n v="12"/>
    <n v="10560"/>
    <x v="113"/>
    <x v="340"/>
    <n v="2640"/>
    <n v="6864"/>
  </r>
  <r>
    <x v="4"/>
    <s v="Medium"/>
    <x v="328"/>
    <n v="250"/>
    <n v="300"/>
    <n v="560100"/>
    <x v="299"/>
    <x v="341"/>
    <n v="466750"/>
    <n v="37340"/>
  </r>
  <r>
    <x v="4"/>
    <s v="Medium"/>
    <x v="329"/>
    <n v="250"/>
    <n v="12"/>
    <n v="26808"/>
    <x v="300"/>
    <x v="342"/>
    <n v="6702"/>
    <n v="17425.2"/>
  </r>
  <r>
    <x v="4"/>
    <s v="Medium"/>
    <x v="315"/>
    <n v="250"/>
    <n v="15"/>
    <n v="18405"/>
    <x v="287"/>
    <x v="328"/>
    <n v="12270"/>
    <n v="4294.5"/>
  </r>
  <r>
    <x v="4"/>
    <s v="Medium"/>
    <x v="330"/>
    <n v="250"/>
    <n v="125"/>
    <n v="109625"/>
    <x v="301"/>
    <x v="343"/>
    <n v="105240"/>
    <n v="-6577.5"/>
  </r>
  <r>
    <x v="5"/>
    <s v="Medium"/>
    <x v="331"/>
    <n v="260"/>
    <n v="350"/>
    <n v="724850"/>
    <x v="302"/>
    <x v="344"/>
    <n v="538460"/>
    <n v="113905"/>
  </r>
  <r>
    <x v="5"/>
    <s v="Medium"/>
    <x v="323"/>
    <n v="260"/>
    <n v="350"/>
    <n v="444150"/>
    <x v="295"/>
    <x v="336"/>
    <n v="329940"/>
    <n v="69795"/>
  </r>
  <r>
    <x v="5"/>
    <s v="Medium"/>
    <x v="332"/>
    <n v="260"/>
    <n v="15"/>
    <n v="14550"/>
    <x v="303"/>
    <x v="345"/>
    <n v="9700"/>
    <n v="3395"/>
  </r>
  <r>
    <x v="5"/>
    <s v="Medium"/>
    <x v="333"/>
    <n v="260"/>
    <n v="20"/>
    <n v="33880"/>
    <x v="304"/>
    <x v="346"/>
    <n v="16940"/>
    <n v="13552"/>
  </r>
  <r>
    <x v="0"/>
    <s v="Medium"/>
    <x v="61"/>
    <n v="3"/>
    <n v="20"/>
    <n v="13260"/>
    <x v="305"/>
    <x v="347"/>
    <n v="6630"/>
    <n v="5304"/>
  </r>
  <r>
    <x v="0"/>
    <s v="Medium"/>
    <x v="334"/>
    <n v="3"/>
    <n v="7"/>
    <n v="5733"/>
    <x v="306"/>
    <x v="348"/>
    <n v="4095"/>
    <n v="1064.6999999999998"/>
  </r>
  <r>
    <x v="0"/>
    <s v="Medium"/>
    <x v="335"/>
    <n v="3"/>
    <n v="12"/>
    <n v="18960"/>
    <x v="307"/>
    <x v="349"/>
    <n v="4740"/>
    <n v="12324"/>
  </r>
  <r>
    <x v="0"/>
    <s v="Medium"/>
    <x v="336"/>
    <n v="3"/>
    <n v="7"/>
    <n v="3647"/>
    <x v="308"/>
    <x v="350"/>
    <n v="2605"/>
    <n v="677.30000000000018"/>
  </r>
  <r>
    <x v="2"/>
    <s v="Medium"/>
    <x v="337"/>
    <n v="10"/>
    <n v="20"/>
    <n v="19460"/>
    <x v="309"/>
    <x v="351"/>
    <n v="9730"/>
    <n v="7784"/>
  </r>
  <r>
    <x v="2"/>
    <s v="Medium"/>
    <x v="338"/>
    <n v="10"/>
    <n v="20"/>
    <n v="20760"/>
    <x v="310"/>
    <x v="352"/>
    <n v="10380"/>
    <n v="8304"/>
  </r>
  <r>
    <x v="2"/>
    <s v="Medium"/>
    <x v="339"/>
    <n v="10"/>
    <n v="7"/>
    <n v="2520"/>
    <x v="311"/>
    <x v="353"/>
    <n v="1800"/>
    <n v="468"/>
  </r>
  <r>
    <x v="3"/>
    <s v="Medium"/>
    <x v="139"/>
    <n v="120"/>
    <n v="12"/>
    <n v="23604"/>
    <x v="312"/>
    <x v="354"/>
    <n v="5901"/>
    <n v="15342.599999999999"/>
  </r>
  <r>
    <x v="3"/>
    <s v="Medium"/>
    <x v="340"/>
    <n v="120"/>
    <n v="15"/>
    <n v="39420"/>
    <x v="313"/>
    <x v="355"/>
    <n v="26280"/>
    <n v="9198"/>
  </r>
  <r>
    <x v="4"/>
    <s v="Medium"/>
    <x v="339"/>
    <n v="250"/>
    <n v="7"/>
    <n v="2520"/>
    <x v="311"/>
    <x v="353"/>
    <n v="1800"/>
    <n v="468"/>
  </r>
  <r>
    <x v="4"/>
    <s v="Medium"/>
    <x v="341"/>
    <n v="250"/>
    <n v="20"/>
    <n v="53640"/>
    <x v="314"/>
    <x v="356"/>
    <n v="26820"/>
    <n v="21456"/>
  </r>
  <r>
    <x v="4"/>
    <s v="Medium"/>
    <x v="336"/>
    <n v="250"/>
    <n v="7"/>
    <n v="3647"/>
    <x v="308"/>
    <x v="350"/>
    <n v="2605"/>
    <n v="677.30000000000018"/>
  </r>
  <r>
    <x v="5"/>
    <s v="Medium"/>
    <x v="338"/>
    <n v="260"/>
    <n v="20"/>
    <n v="20760"/>
    <x v="310"/>
    <x v="352"/>
    <n v="10380"/>
    <n v="8304"/>
  </r>
  <r>
    <x v="5"/>
    <s v="Medium"/>
    <x v="342"/>
    <n v="260"/>
    <n v="15"/>
    <n v="24457.5"/>
    <x v="315"/>
    <x v="357"/>
    <n v="16305"/>
    <n v="5706.75"/>
  </r>
  <r>
    <x v="5"/>
    <s v="Medium"/>
    <x v="343"/>
    <n v="260"/>
    <n v="12"/>
    <n v="3672"/>
    <x v="316"/>
    <x v="358"/>
    <n v="918"/>
    <n v="2386.8000000000002"/>
  </r>
  <r>
    <x v="0"/>
    <s v="High"/>
    <x v="293"/>
    <n v="3"/>
    <n v="12"/>
    <n v="4632"/>
    <x v="317"/>
    <x v="359"/>
    <n v="1158"/>
    <n v="2779.2"/>
  </r>
  <r>
    <x v="1"/>
    <s v="High"/>
    <x v="344"/>
    <n v="5"/>
    <n v="7"/>
    <n v="16296"/>
    <x v="318"/>
    <x v="360"/>
    <n v="11640"/>
    <n v="2211.6000000000004"/>
  </r>
  <r>
    <x v="2"/>
    <s v="High"/>
    <x v="293"/>
    <n v="10"/>
    <n v="12"/>
    <n v="4632"/>
    <x v="317"/>
    <x v="359"/>
    <n v="1158"/>
    <n v="2779.2"/>
  </r>
  <r>
    <x v="0"/>
    <s v="High"/>
    <x v="345"/>
    <n v="3"/>
    <n v="125"/>
    <n v="430687.5"/>
    <x v="319"/>
    <x v="361"/>
    <n v="413460"/>
    <n v="-47375.625"/>
  </r>
  <r>
    <x v="0"/>
    <s v="High"/>
    <x v="346"/>
    <n v="3"/>
    <n v="125"/>
    <n v="185250"/>
    <x v="320"/>
    <x v="362"/>
    <n v="177840"/>
    <n v="-20377.5"/>
  </r>
  <r>
    <x v="1"/>
    <s v="High"/>
    <x v="347"/>
    <n v="5"/>
    <n v="350"/>
    <n v="809550"/>
    <x v="321"/>
    <x v="363"/>
    <n v="601380"/>
    <n v="86737.5"/>
  </r>
  <r>
    <x v="1"/>
    <s v="High"/>
    <x v="29"/>
    <n v="5"/>
    <n v="125"/>
    <n v="225500"/>
    <x v="322"/>
    <x v="364"/>
    <n v="216480"/>
    <n v="-24805"/>
  </r>
  <r>
    <x v="1"/>
    <s v="High"/>
    <x v="348"/>
    <n v="5"/>
    <n v="15"/>
    <n v="31080"/>
    <x v="323"/>
    <x v="365"/>
    <n v="20720"/>
    <n v="5698"/>
  </r>
  <r>
    <x v="2"/>
    <s v="High"/>
    <x v="349"/>
    <n v="10"/>
    <n v="20"/>
    <n v="39080"/>
    <x v="324"/>
    <x v="366"/>
    <n v="19540"/>
    <n v="13678"/>
  </r>
  <r>
    <x v="2"/>
    <s v="High"/>
    <x v="350"/>
    <n v="10"/>
    <n v="300"/>
    <n v="177300"/>
    <x v="325"/>
    <x v="367"/>
    <n v="147750"/>
    <n v="2955"/>
  </r>
  <r>
    <x v="2"/>
    <s v="High"/>
    <x v="351"/>
    <n v="10"/>
    <n v="15"/>
    <n v="32505"/>
    <x v="326"/>
    <x v="368"/>
    <n v="21670"/>
    <n v="5959.25"/>
  </r>
  <r>
    <x v="2"/>
    <s v="High"/>
    <x v="352"/>
    <n v="10"/>
    <n v="20"/>
    <n v="4820"/>
    <x v="327"/>
    <x v="369"/>
    <n v="2410"/>
    <n v="1687"/>
  </r>
  <r>
    <x v="3"/>
    <s v="High"/>
    <x v="353"/>
    <n v="120"/>
    <n v="15"/>
    <n v="10215"/>
    <x v="328"/>
    <x v="370"/>
    <n v="6810"/>
    <n v="1872.75"/>
  </r>
  <r>
    <x v="3"/>
    <s v="High"/>
    <x v="354"/>
    <n v="120"/>
    <n v="15"/>
    <n v="7650"/>
    <x v="329"/>
    <x v="371"/>
    <n v="5100"/>
    <n v="1402.5"/>
  </r>
  <r>
    <x v="3"/>
    <s v="High"/>
    <x v="355"/>
    <n v="120"/>
    <n v="15"/>
    <n v="11850"/>
    <x v="330"/>
    <x v="372"/>
    <n v="7900"/>
    <n v="2172.5"/>
  </r>
  <r>
    <x v="3"/>
    <s v="High"/>
    <x v="44"/>
    <n v="120"/>
    <n v="350"/>
    <n v="223650"/>
    <x v="331"/>
    <x v="373"/>
    <n v="166140"/>
    <n v="23962.5"/>
  </r>
  <r>
    <x v="3"/>
    <s v="High"/>
    <x v="356"/>
    <n v="120"/>
    <n v="125"/>
    <n v="199500"/>
    <x v="332"/>
    <x v="374"/>
    <n v="191520"/>
    <n v="-21945"/>
  </r>
  <r>
    <x v="3"/>
    <s v="High"/>
    <x v="357"/>
    <n v="120"/>
    <n v="300"/>
    <n v="688200"/>
    <x v="333"/>
    <x v="375"/>
    <n v="573500"/>
    <n v="11470"/>
  </r>
  <r>
    <x v="3"/>
    <s v="High"/>
    <x v="352"/>
    <n v="120"/>
    <n v="20"/>
    <n v="4820"/>
    <x v="327"/>
    <x v="369"/>
    <n v="2410"/>
    <n v="1687"/>
  </r>
  <r>
    <x v="3"/>
    <s v="High"/>
    <x v="358"/>
    <n v="120"/>
    <n v="7"/>
    <n v="18655"/>
    <x v="334"/>
    <x v="376"/>
    <n v="13325"/>
    <n v="2531.75"/>
  </r>
  <r>
    <x v="3"/>
    <s v="High"/>
    <x v="94"/>
    <n v="120"/>
    <n v="125"/>
    <n v="239500"/>
    <x v="335"/>
    <x v="377"/>
    <n v="229920"/>
    <n v="-26345"/>
  </r>
  <r>
    <x v="3"/>
    <s v="High"/>
    <x v="359"/>
    <n v="120"/>
    <n v="300"/>
    <n v="255900"/>
    <x v="336"/>
    <x v="378"/>
    <n v="213250"/>
    <n v="4265"/>
  </r>
  <r>
    <x v="4"/>
    <s v="High"/>
    <x v="360"/>
    <n v="250"/>
    <n v="125"/>
    <n v="42625"/>
    <x v="337"/>
    <x v="379"/>
    <n v="40920"/>
    <n v="-4688.75"/>
  </r>
  <r>
    <x v="4"/>
    <s v="High"/>
    <x v="361"/>
    <n v="250"/>
    <n v="15"/>
    <n v="9615"/>
    <x v="338"/>
    <x v="380"/>
    <n v="6410"/>
    <n v="1762.75"/>
  </r>
  <r>
    <x v="4"/>
    <s v="High"/>
    <x v="362"/>
    <n v="250"/>
    <n v="350"/>
    <n v="982450"/>
    <x v="339"/>
    <x v="381"/>
    <n v="729820"/>
    <n v="105262.5"/>
  </r>
  <r>
    <x v="4"/>
    <s v="High"/>
    <x v="363"/>
    <n v="250"/>
    <n v="300"/>
    <n v="129600"/>
    <x v="340"/>
    <x v="382"/>
    <n v="108000"/>
    <n v="2160"/>
  </r>
  <r>
    <x v="4"/>
    <s v="High"/>
    <x v="357"/>
    <n v="250"/>
    <n v="300"/>
    <n v="688200"/>
    <x v="333"/>
    <x v="375"/>
    <n v="573500"/>
    <n v="11470"/>
  </r>
  <r>
    <x v="4"/>
    <s v="High"/>
    <x v="351"/>
    <n v="250"/>
    <n v="15"/>
    <n v="32505"/>
    <x v="326"/>
    <x v="368"/>
    <n v="21670"/>
    <n v="5959.25"/>
  </r>
  <r>
    <x v="4"/>
    <s v="High"/>
    <x v="48"/>
    <n v="250"/>
    <n v="125"/>
    <n v="316125"/>
    <x v="341"/>
    <x v="383"/>
    <n v="303480"/>
    <n v="-34773.75"/>
  </r>
  <r>
    <x v="4"/>
    <s v="High"/>
    <x v="364"/>
    <n v="250"/>
    <n v="350"/>
    <n v="654500"/>
    <x v="342"/>
    <x v="384"/>
    <n v="486200"/>
    <n v="70125"/>
  </r>
  <r>
    <x v="5"/>
    <s v="High"/>
    <x v="365"/>
    <n v="260"/>
    <n v="125"/>
    <n v="72375"/>
    <x v="343"/>
    <x v="385"/>
    <n v="69480"/>
    <n v="-7961.25"/>
  </r>
  <r>
    <x v="5"/>
    <s v="High"/>
    <x v="366"/>
    <n v="260"/>
    <n v="350"/>
    <n v="784000"/>
    <x v="344"/>
    <x v="386"/>
    <n v="582400"/>
    <n v="84000"/>
  </r>
  <r>
    <x v="5"/>
    <s v="High"/>
    <x v="288"/>
    <n v="260"/>
    <n v="300"/>
    <n v="897900"/>
    <x v="345"/>
    <x v="387"/>
    <n v="748250"/>
    <n v="14965"/>
  </r>
  <r>
    <x v="5"/>
    <s v="High"/>
    <x v="367"/>
    <n v="260"/>
    <n v="12"/>
    <n v="42246"/>
    <x v="346"/>
    <x v="388"/>
    <n v="10561.5"/>
    <n v="25347.599999999999"/>
  </r>
  <r>
    <x v="5"/>
    <s v="High"/>
    <x v="368"/>
    <n v="260"/>
    <n v="20"/>
    <n v="40780"/>
    <x v="347"/>
    <x v="389"/>
    <n v="20390"/>
    <n v="14273"/>
  </r>
  <r>
    <x v="5"/>
    <s v="High"/>
    <x v="369"/>
    <n v="260"/>
    <n v="12"/>
    <n v="30888"/>
    <x v="348"/>
    <x v="168"/>
    <n v="7722"/>
    <n v="18532.8"/>
  </r>
  <r>
    <x v="5"/>
    <s v="High"/>
    <x v="370"/>
    <n v="260"/>
    <n v="350"/>
    <n v="247450"/>
    <x v="349"/>
    <x v="390"/>
    <n v="183820"/>
    <n v="26512.5"/>
  </r>
  <r>
    <x v="5"/>
    <s v="High"/>
    <x v="348"/>
    <n v="260"/>
    <n v="15"/>
    <n v="31080"/>
    <x v="323"/>
    <x v="365"/>
    <n v="20720"/>
    <n v="5698"/>
  </r>
  <r>
    <x v="5"/>
    <s v="High"/>
    <x v="359"/>
    <n v="260"/>
    <n v="300"/>
    <n v="255900"/>
    <x v="336"/>
    <x v="378"/>
    <n v="213250"/>
    <n v="4265"/>
  </r>
  <r>
    <x v="0"/>
    <s v="High"/>
    <x v="371"/>
    <n v="3"/>
    <n v="12"/>
    <n v="14376"/>
    <x v="350"/>
    <x v="391"/>
    <n v="3594"/>
    <n v="8625.6"/>
  </r>
  <r>
    <x v="2"/>
    <s v="High"/>
    <x v="372"/>
    <n v="10"/>
    <n v="7"/>
    <n v="17724"/>
    <x v="351"/>
    <x v="392"/>
    <n v="12660"/>
    <n v="2405.3999999999996"/>
  </r>
  <r>
    <x v="2"/>
    <s v="High"/>
    <x v="371"/>
    <n v="10"/>
    <n v="12"/>
    <n v="14376"/>
    <x v="350"/>
    <x v="391"/>
    <n v="3594"/>
    <n v="8625.6"/>
  </r>
  <r>
    <x v="3"/>
    <s v="High"/>
    <x v="373"/>
    <n v="120"/>
    <n v="15"/>
    <n v="5760"/>
    <x v="352"/>
    <x v="393"/>
    <n v="3840"/>
    <n v="1056"/>
  </r>
  <r>
    <x v="3"/>
    <s v="High"/>
    <x v="374"/>
    <n v="120"/>
    <n v="12"/>
    <n v="5664"/>
    <x v="353"/>
    <x v="394"/>
    <n v="1416"/>
    <n v="3398.3999999999996"/>
  </r>
  <r>
    <x v="4"/>
    <s v="High"/>
    <x v="199"/>
    <n v="250"/>
    <n v="7"/>
    <n v="11053"/>
    <x v="354"/>
    <x v="395"/>
    <n v="7895"/>
    <n v="1500.0499999999993"/>
  </r>
  <r>
    <x v="4"/>
    <s v="High"/>
    <x v="375"/>
    <n v="250"/>
    <n v="12"/>
    <n v="12060"/>
    <x v="355"/>
    <x v="396"/>
    <n v="3015"/>
    <n v="7236"/>
  </r>
  <r>
    <x v="5"/>
    <s v="High"/>
    <x v="376"/>
    <n v="260"/>
    <n v="15"/>
    <n v="47992.5"/>
    <x v="356"/>
    <x v="397"/>
    <n v="31995"/>
    <n v="8798.625"/>
  </r>
  <r>
    <x v="5"/>
    <s v="High"/>
    <x v="374"/>
    <n v="260"/>
    <n v="12"/>
    <n v="5664"/>
    <x v="353"/>
    <x v="394"/>
    <n v="1416"/>
    <n v="3398.3999999999996"/>
  </r>
  <r>
    <x v="0"/>
    <s v="High"/>
    <x v="377"/>
    <n v="3"/>
    <n v="12"/>
    <n v="23244"/>
    <x v="357"/>
    <x v="398"/>
    <n v="5811"/>
    <n v="13946.400000000001"/>
  </r>
  <r>
    <x v="0"/>
    <s v="High"/>
    <x v="378"/>
    <n v="3"/>
    <n v="350"/>
    <n v="277200"/>
    <x v="358"/>
    <x v="399"/>
    <n v="205920"/>
    <n v="29700"/>
  </r>
  <r>
    <x v="0"/>
    <s v="High"/>
    <x v="379"/>
    <n v="3"/>
    <n v="300"/>
    <n v="843300"/>
    <x v="359"/>
    <x v="400"/>
    <n v="702750"/>
    <n v="14055"/>
  </r>
  <r>
    <x v="0"/>
    <s v="High"/>
    <x v="380"/>
    <n v="3"/>
    <n v="125"/>
    <n v="305125"/>
    <x v="360"/>
    <x v="401"/>
    <n v="292920"/>
    <n v="-33563.75"/>
  </r>
  <r>
    <x v="0"/>
    <s v="High"/>
    <x v="381"/>
    <n v="3"/>
    <n v="15"/>
    <n v="23400"/>
    <x v="361"/>
    <x v="402"/>
    <n v="15600"/>
    <n v="4290"/>
  </r>
  <r>
    <x v="0"/>
    <s v="High"/>
    <x v="382"/>
    <n v="3"/>
    <n v="7"/>
    <n v="18942"/>
    <x v="362"/>
    <x v="403"/>
    <n v="13530"/>
    <n v="2570.7000000000007"/>
  </r>
  <r>
    <x v="1"/>
    <s v="High"/>
    <x v="52"/>
    <n v="5"/>
    <n v="350"/>
    <n v="268100"/>
    <x v="363"/>
    <x v="404"/>
    <n v="199160"/>
    <n v="28725"/>
  </r>
  <r>
    <x v="1"/>
    <s v="High"/>
    <x v="181"/>
    <n v="5"/>
    <n v="20"/>
    <n v="59840"/>
    <x v="364"/>
    <x v="405"/>
    <n v="29920"/>
    <n v="20944"/>
  </r>
  <r>
    <x v="1"/>
    <s v="High"/>
    <x v="383"/>
    <n v="5"/>
    <n v="15"/>
    <n v="32355"/>
    <x v="365"/>
    <x v="406"/>
    <n v="21570"/>
    <n v="5931.75"/>
  </r>
  <r>
    <x v="2"/>
    <s v="High"/>
    <x v="384"/>
    <n v="10"/>
    <n v="300"/>
    <n v="261900"/>
    <x v="366"/>
    <x v="407"/>
    <n v="218250"/>
    <n v="4365"/>
  </r>
  <r>
    <x v="2"/>
    <s v="High"/>
    <x v="385"/>
    <n v="10"/>
    <n v="20"/>
    <n v="22440"/>
    <x v="367"/>
    <x v="408"/>
    <n v="11220"/>
    <n v="7854"/>
  </r>
  <r>
    <x v="2"/>
    <s v="High"/>
    <x v="386"/>
    <n v="10"/>
    <n v="350"/>
    <n v="736575"/>
    <x v="368"/>
    <x v="409"/>
    <n v="547170"/>
    <n v="78918.75"/>
  </r>
  <r>
    <x v="2"/>
    <s v="High"/>
    <x v="387"/>
    <n v="10"/>
    <n v="12"/>
    <n v="48312"/>
    <x v="369"/>
    <x v="410"/>
    <n v="12078"/>
    <n v="28987.199999999997"/>
  </r>
  <r>
    <x v="2"/>
    <s v="High"/>
    <x v="388"/>
    <n v="10"/>
    <n v="12"/>
    <n v="29106"/>
    <x v="370"/>
    <x v="411"/>
    <n v="7276.5"/>
    <n v="17463.599999999999"/>
  </r>
  <r>
    <x v="2"/>
    <s v="High"/>
    <x v="389"/>
    <n v="10"/>
    <n v="20"/>
    <n v="47880"/>
    <x v="371"/>
    <x v="412"/>
    <n v="23940"/>
    <n v="16758"/>
  </r>
  <r>
    <x v="2"/>
    <s v="High"/>
    <x v="390"/>
    <n v="10"/>
    <n v="15"/>
    <n v="29760"/>
    <x v="372"/>
    <x v="413"/>
    <n v="19840"/>
    <n v="5456"/>
  </r>
  <r>
    <x v="2"/>
    <s v="High"/>
    <x v="380"/>
    <n v="10"/>
    <n v="125"/>
    <n v="305125"/>
    <x v="360"/>
    <x v="401"/>
    <n v="292920"/>
    <n v="-33563.75"/>
  </r>
  <r>
    <x v="2"/>
    <s v="High"/>
    <x v="181"/>
    <n v="10"/>
    <n v="20"/>
    <n v="59840"/>
    <x v="364"/>
    <x v="405"/>
    <n v="29920"/>
    <n v="20944"/>
  </r>
  <r>
    <x v="2"/>
    <s v="High"/>
    <x v="282"/>
    <n v="10"/>
    <n v="300"/>
    <n v="409800"/>
    <x v="373"/>
    <x v="414"/>
    <n v="341500"/>
    <n v="6830"/>
  </r>
  <r>
    <x v="3"/>
    <s v="High"/>
    <x v="391"/>
    <n v="120"/>
    <n v="20"/>
    <n v="56100"/>
    <x v="374"/>
    <x v="415"/>
    <n v="28050"/>
    <n v="19635"/>
  </r>
  <r>
    <x v="3"/>
    <s v="High"/>
    <x v="392"/>
    <n v="120"/>
    <n v="15"/>
    <n v="9825"/>
    <x v="375"/>
    <x v="416"/>
    <n v="6550"/>
    <n v="1801.25"/>
  </r>
  <r>
    <x v="3"/>
    <s v="High"/>
    <x v="393"/>
    <n v="120"/>
    <n v="350"/>
    <n v="120400"/>
    <x v="376"/>
    <x v="417"/>
    <n v="89440"/>
    <n v="12900"/>
  </r>
  <r>
    <x v="3"/>
    <s v="High"/>
    <x v="394"/>
    <n v="120"/>
    <n v="7"/>
    <n v="12656"/>
    <x v="377"/>
    <x v="418"/>
    <n v="9040"/>
    <n v="1717.6000000000004"/>
  </r>
  <r>
    <x v="4"/>
    <s v="High"/>
    <x v="395"/>
    <n v="250"/>
    <n v="12"/>
    <n v="20808"/>
    <x v="378"/>
    <x v="419"/>
    <n v="5202"/>
    <n v="12484.8"/>
  </r>
  <r>
    <x v="4"/>
    <s v="High"/>
    <x v="396"/>
    <n v="250"/>
    <n v="125"/>
    <n v="69250"/>
    <x v="379"/>
    <x v="420"/>
    <n v="66480"/>
    <n v="-7617.5"/>
  </r>
  <r>
    <x v="4"/>
    <s v="High"/>
    <x v="397"/>
    <n v="250"/>
    <n v="20"/>
    <n v="58700"/>
    <x v="380"/>
    <x v="421"/>
    <n v="29350"/>
    <n v="20545"/>
  </r>
  <r>
    <x v="5"/>
    <s v="High"/>
    <x v="398"/>
    <n v="260"/>
    <n v="125"/>
    <n v="395625"/>
    <x v="381"/>
    <x v="422"/>
    <n v="379800"/>
    <n v="-43518.75"/>
  </r>
  <r>
    <x v="5"/>
    <s v="High"/>
    <x v="399"/>
    <n v="260"/>
    <n v="20"/>
    <n v="52580"/>
    <x v="382"/>
    <x v="423"/>
    <n v="26290"/>
    <n v="18403"/>
  </r>
  <r>
    <x v="5"/>
    <s v="High"/>
    <x v="400"/>
    <n v="260"/>
    <n v="125"/>
    <n v="179125"/>
    <x v="383"/>
    <x v="424"/>
    <n v="171960"/>
    <n v="-19703.75"/>
  </r>
  <r>
    <x v="5"/>
    <s v="High"/>
    <x v="401"/>
    <n v="260"/>
    <n v="125"/>
    <n v="118375"/>
    <x v="384"/>
    <x v="425"/>
    <n v="113640"/>
    <n v="-13021.25"/>
  </r>
  <r>
    <x v="5"/>
    <s v="High"/>
    <x v="393"/>
    <n v="260"/>
    <n v="350"/>
    <n v="120400"/>
    <x v="376"/>
    <x v="417"/>
    <n v="89440"/>
    <n v="12900"/>
  </r>
  <r>
    <x v="5"/>
    <s v="High"/>
    <x v="383"/>
    <n v="260"/>
    <n v="15"/>
    <n v="32355"/>
    <x v="365"/>
    <x v="406"/>
    <n v="21570"/>
    <n v="5931.75"/>
  </r>
  <r>
    <x v="2"/>
    <s v="High"/>
    <x v="402"/>
    <n v="10"/>
    <n v="7"/>
    <n v="2660"/>
    <x v="137"/>
    <x v="426"/>
    <n v="1900"/>
    <n v="361"/>
  </r>
  <r>
    <x v="0"/>
    <s v="High"/>
    <x v="403"/>
    <n v="3"/>
    <n v="350"/>
    <n v="310100"/>
    <x v="385"/>
    <x v="427"/>
    <n v="230360"/>
    <n v="33225"/>
  </r>
  <r>
    <x v="0"/>
    <s v="High"/>
    <x v="404"/>
    <n v="3"/>
    <n v="125"/>
    <n v="302000"/>
    <x v="386"/>
    <x v="428"/>
    <n v="289920"/>
    <n v="-33220"/>
  </r>
  <r>
    <x v="0"/>
    <s v="High"/>
    <x v="405"/>
    <n v="3"/>
    <n v="125"/>
    <n v="269500"/>
    <x v="387"/>
    <x v="429"/>
    <n v="258720"/>
    <n v="-29645"/>
  </r>
  <r>
    <x v="0"/>
    <s v="High"/>
    <x v="164"/>
    <n v="3"/>
    <n v="15"/>
    <n v="40335"/>
    <x v="388"/>
    <x v="430"/>
    <n v="26890"/>
    <n v="7394.75"/>
  </r>
  <r>
    <x v="1"/>
    <s v="High"/>
    <x v="406"/>
    <n v="5"/>
    <n v="15"/>
    <n v="10155"/>
    <x v="96"/>
    <x v="431"/>
    <n v="6770"/>
    <n v="1861.75"/>
  </r>
  <r>
    <x v="1"/>
    <s v="High"/>
    <x v="407"/>
    <n v="5"/>
    <n v="300"/>
    <n v="531900"/>
    <x v="389"/>
    <x v="432"/>
    <n v="443250"/>
    <n v="8865"/>
  </r>
  <r>
    <x v="1"/>
    <s v="High"/>
    <x v="408"/>
    <n v="5"/>
    <n v="7"/>
    <n v="16940"/>
    <x v="390"/>
    <x v="433"/>
    <n v="12100"/>
    <n v="2299"/>
  </r>
  <r>
    <x v="1"/>
    <s v="High"/>
    <x v="409"/>
    <n v="5"/>
    <n v="7"/>
    <n v="19138"/>
    <x v="391"/>
    <x v="434"/>
    <n v="13670"/>
    <n v="2597.2999999999993"/>
  </r>
  <r>
    <x v="1"/>
    <s v="High"/>
    <x v="410"/>
    <n v="5"/>
    <n v="20"/>
    <n v="34300"/>
    <x v="392"/>
    <x v="435"/>
    <n v="17150"/>
    <n v="12005"/>
  </r>
  <r>
    <x v="1"/>
    <s v="High"/>
    <x v="411"/>
    <n v="5"/>
    <n v="300"/>
    <n v="355800"/>
    <x v="393"/>
    <x v="436"/>
    <n v="296500"/>
    <n v="5930"/>
  </r>
  <r>
    <x v="2"/>
    <s v="High"/>
    <x v="412"/>
    <n v="10"/>
    <n v="300"/>
    <n v="1048500"/>
    <x v="394"/>
    <x v="437"/>
    <n v="873750"/>
    <n v="17475"/>
  </r>
  <r>
    <x v="2"/>
    <s v="High"/>
    <x v="403"/>
    <n v="10"/>
    <n v="350"/>
    <n v="310100"/>
    <x v="385"/>
    <x v="427"/>
    <n v="230360"/>
    <n v="33225"/>
  </r>
  <r>
    <x v="2"/>
    <s v="High"/>
    <x v="405"/>
    <n v="10"/>
    <n v="125"/>
    <n v="269500"/>
    <x v="387"/>
    <x v="429"/>
    <n v="258720"/>
    <n v="-29645"/>
  </r>
  <r>
    <x v="2"/>
    <s v="High"/>
    <x v="413"/>
    <n v="10"/>
    <n v="20"/>
    <n v="18100"/>
    <x v="395"/>
    <x v="438"/>
    <n v="9050"/>
    <n v="6335"/>
  </r>
  <r>
    <x v="2"/>
    <s v="High"/>
    <x v="410"/>
    <n v="10"/>
    <n v="20"/>
    <n v="34300"/>
    <x v="392"/>
    <x v="435"/>
    <n v="17150"/>
    <n v="12005"/>
  </r>
  <r>
    <x v="2"/>
    <s v="High"/>
    <x v="414"/>
    <n v="10"/>
    <n v="350"/>
    <n v="557900"/>
    <x v="396"/>
    <x v="439"/>
    <n v="414440"/>
    <n v="59775"/>
  </r>
  <r>
    <x v="2"/>
    <s v="High"/>
    <x v="415"/>
    <n v="10"/>
    <n v="300"/>
    <n v="407700"/>
    <x v="397"/>
    <x v="440"/>
    <n v="339750"/>
    <n v="6795"/>
  </r>
  <r>
    <x v="2"/>
    <s v="High"/>
    <x v="416"/>
    <n v="10"/>
    <n v="300"/>
    <n v="645000"/>
    <x v="398"/>
    <x v="441"/>
    <n v="537500"/>
    <n v="10750"/>
  </r>
  <r>
    <x v="2"/>
    <s v="High"/>
    <x v="417"/>
    <n v="10"/>
    <n v="350"/>
    <n v="418950"/>
    <x v="399"/>
    <x v="442"/>
    <n v="311220"/>
    <n v="44887.5"/>
  </r>
  <r>
    <x v="2"/>
    <s v="High"/>
    <x v="402"/>
    <n v="10"/>
    <n v="15"/>
    <n v="5700"/>
    <x v="400"/>
    <x v="443"/>
    <n v="3800"/>
    <n v="1045"/>
  </r>
  <r>
    <x v="2"/>
    <s v="High"/>
    <x v="418"/>
    <n v="10"/>
    <n v="20"/>
    <n v="24660"/>
    <x v="401"/>
    <x v="444"/>
    <n v="12330"/>
    <n v="8631"/>
  </r>
  <r>
    <x v="3"/>
    <s v="High"/>
    <x v="419"/>
    <n v="120"/>
    <n v="350"/>
    <n v="488250"/>
    <x v="402"/>
    <x v="445"/>
    <n v="362700"/>
    <n v="52312.5"/>
  </r>
  <r>
    <x v="3"/>
    <s v="High"/>
    <x v="75"/>
    <n v="120"/>
    <n v="350"/>
    <n v="345100"/>
    <x v="403"/>
    <x v="446"/>
    <n v="256360"/>
    <n v="36975"/>
  </r>
  <r>
    <x v="3"/>
    <s v="High"/>
    <x v="413"/>
    <n v="120"/>
    <n v="20"/>
    <n v="18100"/>
    <x v="395"/>
    <x v="438"/>
    <n v="9050"/>
    <n v="6335"/>
  </r>
  <r>
    <x v="4"/>
    <s v="High"/>
    <x v="420"/>
    <n v="250"/>
    <n v="12"/>
    <n v="25308"/>
    <x v="404"/>
    <x v="447"/>
    <n v="6327"/>
    <n v="15184.8"/>
  </r>
  <r>
    <x v="4"/>
    <s v="High"/>
    <x v="421"/>
    <n v="250"/>
    <n v="15"/>
    <n v="58117.5"/>
    <x v="405"/>
    <x v="448"/>
    <n v="38745"/>
    <n v="10654.875"/>
  </r>
  <r>
    <x v="4"/>
    <s v="High"/>
    <x v="422"/>
    <n v="250"/>
    <n v="350"/>
    <n v="218050"/>
    <x v="406"/>
    <x v="449"/>
    <n v="161980"/>
    <n v="23362.5"/>
  </r>
  <r>
    <x v="4"/>
    <s v="High"/>
    <x v="75"/>
    <n v="250"/>
    <n v="350"/>
    <n v="345100"/>
    <x v="403"/>
    <x v="446"/>
    <n v="256360"/>
    <n v="36975"/>
  </r>
  <r>
    <x v="4"/>
    <s v="High"/>
    <x v="423"/>
    <n v="250"/>
    <n v="125"/>
    <n v="298375"/>
    <x v="407"/>
    <x v="450"/>
    <n v="286440"/>
    <n v="-32821.25"/>
  </r>
  <r>
    <x v="4"/>
    <s v="High"/>
    <x v="418"/>
    <n v="250"/>
    <n v="20"/>
    <n v="24660"/>
    <x v="401"/>
    <x v="444"/>
    <n v="12330"/>
    <n v="8631"/>
  </r>
  <r>
    <x v="5"/>
    <s v="High"/>
    <x v="424"/>
    <n v="260"/>
    <n v="350"/>
    <n v="94500"/>
    <x v="408"/>
    <x v="451"/>
    <n v="70200"/>
    <n v="10125"/>
  </r>
  <r>
    <x v="5"/>
    <s v="High"/>
    <x v="425"/>
    <n v="260"/>
    <n v="7"/>
    <n v="23950.5"/>
    <x v="409"/>
    <x v="452"/>
    <n v="17107.5"/>
    <n v="3250.4249999999993"/>
  </r>
  <r>
    <x v="5"/>
    <s v="High"/>
    <x v="409"/>
    <n v="260"/>
    <n v="7"/>
    <n v="19138"/>
    <x v="391"/>
    <x v="434"/>
    <n v="13670"/>
    <n v="2597.2999999999993"/>
  </r>
  <r>
    <x v="5"/>
    <s v="High"/>
    <x v="426"/>
    <n v="260"/>
    <n v="15"/>
    <n v="38220"/>
    <x v="410"/>
    <x v="453"/>
    <n v="25480"/>
    <n v="7007"/>
  </r>
  <r>
    <x v="0"/>
    <s v="High"/>
    <x v="427"/>
    <n v="3"/>
    <n v="20"/>
    <n v="50430"/>
    <x v="411"/>
    <x v="454"/>
    <n v="25215"/>
    <n v="17650.5"/>
  </r>
  <r>
    <x v="1"/>
    <s v="High"/>
    <x v="428"/>
    <n v="5"/>
    <n v="12"/>
    <n v="31932"/>
    <x v="412"/>
    <x v="455"/>
    <n v="7983"/>
    <n v="19159.2"/>
  </r>
  <r>
    <x v="2"/>
    <s v="High"/>
    <x v="429"/>
    <n v="10"/>
    <n v="20"/>
    <n v="30620"/>
    <x v="413"/>
    <x v="456"/>
    <n v="15310"/>
    <n v="10717"/>
  </r>
  <r>
    <x v="4"/>
    <s v="High"/>
    <x v="430"/>
    <n v="250"/>
    <n v="7"/>
    <n v="10437"/>
    <x v="414"/>
    <x v="457"/>
    <n v="7455"/>
    <n v="1416.4500000000007"/>
  </r>
  <r>
    <x v="4"/>
    <s v="High"/>
    <x v="429"/>
    <n v="250"/>
    <n v="20"/>
    <n v="30620"/>
    <x v="413"/>
    <x v="456"/>
    <n v="15310"/>
    <n v="10717"/>
  </r>
  <r>
    <x v="5"/>
    <s v="High"/>
    <x v="431"/>
    <n v="260"/>
    <n v="12"/>
    <n v="33132"/>
    <x v="415"/>
    <x v="458"/>
    <n v="8283"/>
    <n v="19879.2"/>
  </r>
  <r>
    <x v="0"/>
    <s v="High"/>
    <x v="432"/>
    <n v="3"/>
    <n v="15"/>
    <n v="38505"/>
    <x v="416"/>
    <x v="459"/>
    <n v="25670"/>
    <n v="7059.25"/>
  </r>
  <r>
    <x v="4"/>
    <s v="High"/>
    <x v="432"/>
    <n v="250"/>
    <n v="15"/>
    <n v="38505"/>
    <x v="416"/>
    <x v="459"/>
    <n v="25670"/>
    <n v="7059.25"/>
  </r>
  <r>
    <x v="0"/>
    <s v="High"/>
    <x v="71"/>
    <n v="3"/>
    <n v="350"/>
    <n v="323050"/>
    <x v="139"/>
    <x v="460"/>
    <n v="239980"/>
    <n v="34612.5"/>
  </r>
  <r>
    <x v="0"/>
    <s v="High"/>
    <x v="433"/>
    <n v="3"/>
    <n v="350"/>
    <n v="626500"/>
    <x v="417"/>
    <x v="461"/>
    <n v="465400"/>
    <n v="67125"/>
  </r>
  <r>
    <x v="0"/>
    <s v="High"/>
    <x v="434"/>
    <n v="3"/>
    <n v="20"/>
    <n v="8840"/>
    <x v="305"/>
    <x v="462"/>
    <n v="4420"/>
    <n v="3094"/>
  </r>
  <r>
    <x v="1"/>
    <s v="High"/>
    <x v="435"/>
    <n v="5"/>
    <n v="350"/>
    <n v="343875"/>
    <x v="418"/>
    <x v="463"/>
    <n v="255450"/>
    <n v="36843.75"/>
  </r>
  <r>
    <x v="1"/>
    <s v="High"/>
    <x v="436"/>
    <n v="5"/>
    <n v="7"/>
    <n v="9086"/>
    <x v="419"/>
    <x v="464"/>
    <n v="6490"/>
    <n v="1233.1000000000004"/>
  </r>
  <r>
    <x v="1"/>
    <s v="High"/>
    <x v="437"/>
    <n v="5"/>
    <n v="12"/>
    <n v="7248"/>
    <x v="420"/>
    <x v="465"/>
    <n v="1812"/>
    <n v="4348.8"/>
  </r>
  <r>
    <x v="1"/>
    <s v="High"/>
    <x v="438"/>
    <n v="5"/>
    <n v="20"/>
    <n v="45100"/>
    <x v="421"/>
    <x v="466"/>
    <n v="22550"/>
    <n v="15785"/>
  </r>
  <r>
    <x v="1"/>
    <s v="High"/>
    <x v="439"/>
    <n v="5"/>
    <n v="20"/>
    <n v="24980"/>
    <x v="422"/>
    <x v="467"/>
    <n v="12490"/>
    <n v="8743"/>
  </r>
  <r>
    <x v="2"/>
    <s v="High"/>
    <x v="440"/>
    <n v="10"/>
    <n v="7"/>
    <n v="10069.5"/>
    <x v="423"/>
    <x v="468"/>
    <n v="7192.5"/>
    <n v="1366.5750000000007"/>
  </r>
  <r>
    <x v="2"/>
    <s v="High"/>
    <x v="197"/>
    <n v="10"/>
    <n v="300"/>
    <n v="242100"/>
    <x v="424"/>
    <x v="469"/>
    <n v="201750"/>
    <n v="4035"/>
  </r>
  <r>
    <x v="2"/>
    <s v="High"/>
    <x v="441"/>
    <n v="10"/>
    <n v="20"/>
    <n v="52820"/>
    <x v="425"/>
    <x v="470"/>
    <n v="26410"/>
    <n v="18487"/>
  </r>
  <r>
    <x v="2"/>
    <s v="High"/>
    <x v="442"/>
    <n v="10"/>
    <n v="20"/>
    <n v="54160"/>
    <x v="426"/>
    <x v="471"/>
    <n v="27080"/>
    <n v="18956"/>
  </r>
  <r>
    <x v="2"/>
    <s v="High"/>
    <x v="443"/>
    <n v="10"/>
    <n v="350"/>
    <n v="921200"/>
    <x v="427"/>
    <x v="472"/>
    <n v="684320"/>
    <n v="98700"/>
  </r>
  <r>
    <x v="2"/>
    <s v="High"/>
    <x v="444"/>
    <n v="10"/>
    <n v="125"/>
    <n v="197875"/>
    <x v="428"/>
    <x v="473"/>
    <n v="189960"/>
    <n v="-21766.25"/>
  </r>
  <r>
    <x v="2"/>
    <s v="High"/>
    <x v="445"/>
    <n v="10"/>
    <n v="12"/>
    <n v="6852"/>
    <x v="429"/>
    <x v="474"/>
    <n v="1713"/>
    <n v="4111.2"/>
  </r>
  <r>
    <x v="2"/>
    <s v="High"/>
    <x v="446"/>
    <n v="10"/>
    <n v="7"/>
    <n v="18872"/>
    <x v="430"/>
    <x v="475"/>
    <n v="13480"/>
    <n v="2561.2000000000007"/>
  </r>
  <r>
    <x v="2"/>
    <s v="High"/>
    <x v="447"/>
    <n v="10"/>
    <n v="15"/>
    <n v="23475"/>
    <x v="431"/>
    <x v="476"/>
    <n v="15650"/>
    <n v="4303.75"/>
  </r>
  <r>
    <x v="2"/>
    <s v="High"/>
    <x v="439"/>
    <n v="10"/>
    <n v="20"/>
    <n v="24980"/>
    <x v="422"/>
    <x v="467"/>
    <n v="12490"/>
    <n v="8743"/>
  </r>
  <r>
    <x v="2"/>
    <s v="High"/>
    <x v="448"/>
    <n v="10"/>
    <n v="350"/>
    <n v="124950"/>
    <x v="432"/>
    <x v="477"/>
    <n v="92820"/>
    <n v="13387.5"/>
  </r>
  <r>
    <x v="2"/>
    <s v="High"/>
    <x v="449"/>
    <n v="10"/>
    <n v="12"/>
    <n v="12156"/>
    <x v="433"/>
    <x v="478"/>
    <n v="3039"/>
    <n v="7293.6"/>
  </r>
  <r>
    <x v="3"/>
    <s v="High"/>
    <x v="450"/>
    <n v="120"/>
    <n v="15"/>
    <n v="59962.5"/>
    <x v="434"/>
    <x v="479"/>
    <n v="39975"/>
    <n v="10993.125"/>
  </r>
  <r>
    <x v="3"/>
    <s v="High"/>
    <x v="443"/>
    <n v="120"/>
    <n v="350"/>
    <n v="921200"/>
    <x v="427"/>
    <x v="472"/>
    <n v="684320"/>
    <n v="98700"/>
  </r>
  <r>
    <x v="3"/>
    <s v="High"/>
    <x v="451"/>
    <n v="120"/>
    <n v="7"/>
    <n v="8330"/>
    <x v="435"/>
    <x v="480"/>
    <n v="5950"/>
    <n v="1130.5"/>
  </r>
  <r>
    <x v="3"/>
    <s v="High"/>
    <x v="437"/>
    <n v="120"/>
    <n v="12"/>
    <n v="7248"/>
    <x v="420"/>
    <x v="465"/>
    <n v="1812"/>
    <n v="4348.8"/>
  </r>
  <r>
    <x v="3"/>
    <s v="High"/>
    <x v="452"/>
    <n v="120"/>
    <n v="15"/>
    <n v="9900"/>
    <x v="436"/>
    <x v="481"/>
    <n v="6600"/>
    <n v="1815"/>
  </r>
  <r>
    <x v="3"/>
    <s v="High"/>
    <x v="453"/>
    <n v="120"/>
    <n v="12"/>
    <n v="4920"/>
    <x v="437"/>
    <x v="482"/>
    <n v="1230"/>
    <n v="2952"/>
  </r>
  <r>
    <x v="3"/>
    <s v="High"/>
    <x v="454"/>
    <n v="120"/>
    <n v="300"/>
    <n v="781500"/>
    <x v="438"/>
    <x v="483"/>
    <n v="651250"/>
    <n v="13025"/>
  </r>
  <r>
    <x v="3"/>
    <s v="High"/>
    <x v="449"/>
    <n v="120"/>
    <n v="12"/>
    <n v="12156"/>
    <x v="433"/>
    <x v="478"/>
    <n v="3039"/>
    <n v="7293.6"/>
  </r>
  <r>
    <x v="4"/>
    <s v="High"/>
    <x v="444"/>
    <n v="250"/>
    <n v="125"/>
    <n v="197875"/>
    <x v="428"/>
    <x v="473"/>
    <n v="189960"/>
    <n v="-21766.25"/>
  </r>
  <r>
    <x v="4"/>
    <s v="High"/>
    <x v="447"/>
    <n v="250"/>
    <n v="15"/>
    <n v="23475"/>
    <x v="431"/>
    <x v="476"/>
    <n v="15650"/>
    <n v="4303.75"/>
  </r>
  <r>
    <x v="5"/>
    <s v="High"/>
    <x v="255"/>
    <n v="260"/>
    <n v="125"/>
    <n v="207375"/>
    <x v="439"/>
    <x v="484"/>
    <n v="199080"/>
    <n v="-22811.25"/>
  </r>
  <r>
    <x v="5"/>
    <s v="High"/>
    <x v="451"/>
    <n v="260"/>
    <n v="7"/>
    <n v="8330"/>
    <x v="435"/>
    <x v="480"/>
    <n v="5950"/>
    <n v="1130.5"/>
  </r>
  <r>
    <x v="5"/>
    <s v="High"/>
    <x v="453"/>
    <n v="260"/>
    <n v="12"/>
    <n v="4920"/>
    <x v="437"/>
    <x v="482"/>
    <n v="1230"/>
    <n v="2952"/>
  </r>
  <r>
    <x v="5"/>
    <s v="High"/>
    <x v="455"/>
    <n v="260"/>
    <n v="12"/>
    <n v="21240"/>
    <x v="440"/>
    <x v="485"/>
    <n v="5310"/>
    <n v="12744"/>
  </r>
  <r>
    <x v="0"/>
    <s v="High"/>
    <x v="456"/>
    <n v="3"/>
    <n v="20"/>
    <n v="51580"/>
    <x v="441"/>
    <x v="486"/>
    <n v="25790"/>
    <n v="18053"/>
  </r>
  <r>
    <x v="0"/>
    <s v="High"/>
    <x v="228"/>
    <n v="3"/>
    <n v="20"/>
    <n v="34860"/>
    <x v="442"/>
    <x v="487"/>
    <n v="17430"/>
    <n v="12201"/>
  </r>
  <r>
    <x v="0"/>
    <s v="High"/>
    <x v="457"/>
    <n v="3"/>
    <n v="7"/>
    <n v="20972"/>
    <x v="443"/>
    <x v="488"/>
    <n v="14980"/>
    <n v="2846.2000000000007"/>
  </r>
  <r>
    <x v="0"/>
    <s v="High"/>
    <x v="458"/>
    <n v="3"/>
    <n v="7"/>
    <n v="1960"/>
    <x v="444"/>
    <x v="489"/>
    <n v="1400"/>
    <n v="266"/>
  </r>
  <r>
    <x v="1"/>
    <s v="High"/>
    <x v="459"/>
    <n v="5"/>
    <n v="7"/>
    <n v="2051"/>
    <x v="445"/>
    <x v="490"/>
    <n v="1465"/>
    <n v="278.34999999999991"/>
  </r>
  <r>
    <x v="1"/>
    <s v="High"/>
    <x v="457"/>
    <n v="5"/>
    <n v="7"/>
    <n v="20972"/>
    <x v="443"/>
    <x v="488"/>
    <n v="14980"/>
    <n v="2846.2000000000007"/>
  </r>
  <r>
    <x v="2"/>
    <s v="High"/>
    <x v="460"/>
    <n v="10"/>
    <n v="15"/>
    <n v="4170"/>
    <x v="446"/>
    <x v="491"/>
    <n v="2780"/>
    <n v="764.5"/>
  </r>
  <r>
    <x v="2"/>
    <s v="High"/>
    <x v="461"/>
    <n v="10"/>
    <n v="20"/>
    <n v="48560"/>
    <x v="447"/>
    <x v="492"/>
    <n v="24280"/>
    <n v="16996"/>
  </r>
  <r>
    <x v="2"/>
    <s v="High"/>
    <x v="462"/>
    <n v="10"/>
    <n v="15"/>
    <n v="26505"/>
    <x v="448"/>
    <x v="493"/>
    <n v="17670"/>
    <n v="4859.25"/>
  </r>
  <r>
    <x v="2"/>
    <s v="High"/>
    <x v="463"/>
    <n v="10"/>
    <n v="12"/>
    <n v="16716"/>
    <x v="449"/>
    <x v="494"/>
    <n v="4179"/>
    <n v="10029.6"/>
  </r>
  <r>
    <x v="4"/>
    <s v="High"/>
    <x v="458"/>
    <n v="250"/>
    <n v="7"/>
    <n v="1960"/>
    <x v="444"/>
    <x v="489"/>
    <n v="1400"/>
    <n v="266"/>
  </r>
  <r>
    <x v="5"/>
    <s v="High"/>
    <x v="463"/>
    <n v="260"/>
    <n v="12"/>
    <n v="16716"/>
    <x v="449"/>
    <x v="494"/>
    <n v="4179"/>
    <n v="10029.6"/>
  </r>
  <r>
    <x v="5"/>
    <s v="High"/>
    <x v="464"/>
    <n v="260"/>
    <n v="12"/>
    <n v="24180"/>
    <x v="450"/>
    <x v="495"/>
    <n v="6045"/>
    <n v="14508"/>
  </r>
  <r>
    <x v="0"/>
    <s v="High"/>
    <x v="465"/>
    <n v="3"/>
    <n v="300"/>
    <n v="240300"/>
    <x v="451"/>
    <x v="496"/>
    <n v="200250"/>
    <n v="4005"/>
  </r>
  <r>
    <x v="0"/>
    <s v="High"/>
    <x v="466"/>
    <n v="3"/>
    <n v="125"/>
    <n v="127875"/>
    <x v="452"/>
    <x v="497"/>
    <n v="122760"/>
    <n v="-14066.25"/>
  </r>
  <r>
    <x v="0"/>
    <s v="High"/>
    <x v="216"/>
    <n v="3"/>
    <n v="300"/>
    <n v="448800"/>
    <x v="453"/>
    <x v="498"/>
    <n v="374000"/>
    <n v="7480"/>
  </r>
  <r>
    <x v="0"/>
    <s v="High"/>
    <x v="467"/>
    <n v="3"/>
    <n v="300"/>
    <n v="303000"/>
    <x v="454"/>
    <x v="499"/>
    <n v="252500"/>
    <n v="5050"/>
  </r>
  <r>
    <x v="0"/>
    <s v="High"/>
    <x v="5"/>
    <n v="3"/>
    <n v="15"/>
    <n v="22695"/>
    <x v="455"/>
    <x v="500"/>
    <n v="15130"/>
    <n v="4160.75"/>
  </r>
  <r>
    <x v="0"/>
    <s v="High"/>
    <x v="468"/>
    <n v="3"/>
    <n v="15"/>
    <n v="34500"/>
    <x v="456"/>
    <x v="501"/>
    <n v="23000"/>
    <n v="6325"/>
  </r>
  <r>
    <x v="0"/>
    <s v="High"/>
    <x v="31"/>
    <n v="3"/>
    <n v="125"/>
    <n v="352625"/>
    <x v="457"/>
    <x v="502"/>
    <n v="338520"/>
    <n v="-38788.75"/>
  </r>
  <r>
    <x v="1"/>
    <s v="High"/>
    <x v="469"/>
    <n v="5"/>
    <n v="350"/>
    <n v="779625"/>
    <x v="458"/>
    <x v="503"/>
    <n v="579150"/>
    <n v="83531.25"/>
  </r>
  <r>
    <x v="1"/>
    <s v="High"/>
    <x v="470"/>
    <n v="5"/>
    <n v="350"/>
    <n v="419650"/>
    <x v="459"/>
    <x v="504"/>
    <n v="311740"/>
    <n v="44962.5"/>
  </r>
  <r>
    <x v="1"/>
    <s v="High"/>
    <x v="471"/>
    <n v="5"/>
    <n v="350"/>
    <n v="70000"/>
    <x v="460"/>
    <x v="505"/>
    <n v="52000"/>
    <n v="7500"/>
  </r>
  <r>
    <x v="1"/>
    <s v="High"/>
    <x v="472"/>
    <n v="5"/>
    <n v="7"/>
    <n v="2716"/>
    <x v="461"/>
    <x v="506"/>
    <n v="1940"/>
    <n v="368.59999999999991"/>
  </r>
  <r>
    <x v="1"/>
    <s v="High"/>
    <x v="473"/>
    <n v="5"/>
    <n v="7"/>
    <n v="12089"/>
    <x v="462"/>
    <x v="507"/>
    <n v="8635"/>
    <n v="1640.6499999999996"/>
  </r>
  <r>
    <x v="1"/>
    <s v="High"/>
    <x v="468"/>
    <n v="5"/>
    <n v="15"/>
    <n v="34500"/>
    <x v="456"/>
    <x v="501"/>
    <n v="23000"/>
    <n v="6325"/>
  </r>
  <r>
    <x v="2"/>
    <s v="High"/>
    <x v="474"/>
    <n v="10"/>
    <n v="20"/>
    <n v="5200"/>
    <x v="463"/>
    <x v="508"/>
    <n v="2600"/>
    <n v="1820"/>
  </r>
  <r>
    <x v="2"/>
    <s v="High"/>
    <x v="4"/>
    <n v="10"/>
    <n v="15"/>
    <n v="37050"/>
    <x v="464"/>
    <x v="509"/>
    <n v="24700"/>
    <n v="6792.5"/>
  </r>
  <r>
    <x v="2"/>
    <s v="High"/>
    <x v="228"/>
    <n v="10"/>
    <n v="15"/>
    <n v="26145"/>
    <x v="465"/>
    <x v="510"/>
    <n v="17430"/>
    <n v="4793.25"/>
  </r>
  <r>
    <x v="2"/>
    <s v="High"/>
    <x v="475"/>
    <n v="10"/>
    <n v="12"/>
    <n v="34968"/>
    <x v="466"/>
    <x v="511"/>
    <n v="8742"/>
    <n v="20980.799999999999"/>
  </r>
  <r>
    <x v="2"/>
    <s v="High"/>
    <x v="476"/>
    <n v="10"/>
    <n v="7"/>
    <n v="12117"/>
    <x v="467"/>
    <x v="512"/>
    <n v="8655"/>
    <n v="1644.4500000000007"/>
  </r>
  <r>
    <x v="2"/>
    <s v="High"/>
    <x v="477"/>
    <n v="10"/>
    <n v="350"/>
    <n v="245000"/>
    <x v="468"/>
    <x v="513"/>
    <n v="182000"/>
    <n v="26250"/>
  </r>
  <r>
    <x v="2"/>
    <s v="High"/>
    <x v="478"/>
    <n v="10"/>
    <n v="12"/>
    <n v="26664"/>
    <x v="469"/>
    <x v="514"/>
    <n v="6666"/>
    <n v="15998.400000000001"/>
  </r>
  <r>
    <x v="2"/>
    <s v="High"/>
    <x v="479"/>
    <n v="10"/>
    <n v="350"/>
    <n v="411950"/>
    <x v="470"/>
    <x v="515"/>
    <n v="306020"/>
    <n v="44137.5"/>
  </r>
  <r>
    <x v="2"/>
    <s v="High"/>
    <x v="480"/>
    <n v="10"/>
    <n v="350"/>
    <n v="672700"/>
    <x v="471"/>
    <x v="516"/>
    <n v="499720"/>
    <n v="72075"/>
  </r>
  <r>
    <x v="3"/>
    <s v="High"/>
    <x v="481"/>
    <n v="120"/>
    <n v="125"/>
    <n v="196875"/>
    <x v="472"/>
    <x v="517"/>
    <n v="189000"/>
    <n v="-21656.25"/>
  </r>
  <r>
    <x v="3"/>
    <s v="High"/>
    <x v="482"/>
    <n v="120"/>
    <n v="20"/>
    <n v="12120"/>
    <x v="473"/>
    <x v="518"/>
    <n v="6060"/>
    <n v="4242"/>
  </r>
  <r>
    <x v="3"/>
    <s v="High"/>
    <x v="283"/>
    <n v="120"/>
    <n v="300"/>
    <n v="738000"/>
    <x v="474"/>
    <x v="519"/>
    <n v="615000"/>
    <n v="12300"/>
  </r>
  <r>
    <x v="3"/>
    <s v="High"/>
    <x v="483"/>
    <n v="120"/>
    <n v="300"/>
    <n v="80700"/>
    <x v="475"/>
    <x v="520"/>
    <n v="67250"/>
    <n v="1345"/>
  </r>
  <r>
    <x v="3"/>
    <s v="High"/>
    <x v="484"/>
    <n v="120"/>
    <n v="300"/>
    <n v="760800"/>
    <x v="476"/>
    <x v="521"/>
    <n v="634000"/>
    <n v="12680"/>
  </r>
  <r>
    <x v="4"/>
    <s v="High"/>
    <x v="485"/>
    <n v="250"/>
    <n v="7"/>
    <n v="20321"/>
    <x v="477"/>
    <x v="522"/>
    <n v="14515"/>
    <n v="2757.8499999999985"/>
  </r>
  <r>
    <x v="4"/>
    <s v="High"/>
    <x v="486"/>
    <n v="250"/>
    <n v="300"/>
    <n v="762300"/>
    <x v="478"/>
    <x v="523"/>
    <n v="635250"/>
    <n v="12705"/>
  </r>
  <r>
    <x v="4"/>
    <s v="High"/>
    <x v="483"/>
    <n v="250"/>
    <n v="300"/>
    <n v="80700"/>
    <x v="475"/>
    <x v="520"/>
    <n v="67250"/>
    <n v="1345"/>
  </r>
  <r>
    <x v="4"/>
    <s v="High"/>
    <x v="216"/>
    <n v="250"/>
    <n v="300"/>
    <n v="448800"/>
    <x v="453"/>
    <x v="498"/>
    <n v="374000"/>
    <n v="7480"/>
  </r>
  <r>
    <x v="4"/>
    <s v="High"/>
    <x v="467"/>
    <n v="250"/>
    <n v="300"/>
    <n v="303000"/>
    <x v="454"/>
    <x v="499"/>
    <n v="252500"/>
    <n v="5050"/>
  </r>
  <r>
    <x v="4"/>
    <s v="High"/>
    <x v="487"/>
    <n v="250"/>
    <n v="350"/>
    <n v="448350"/>
    <x v="479"/>
    <x v="524"/>
    <n v="333060"/>
    <n v="48037.5"/>
  </r>
  <r>
    <x v="5"/>
    <s v="High"/>
    <x v="3"/>
    <n v="260"/>
    <n v="300"/>
    <n v="266400"/>
    <x v="480"/>
    <x v="525"/>
    <n v="222000"/>
    <n v="4440"/>
  </r>
  <r>
    <x v="5"/>
    <s v="High"/>
    <x v="126"/>
    <n v="260"/>
    <n v="125"/>
    <n v="355500"/>
    <x v="481"/>
    <x v="526"/>
    <n v="341280"/>
    <n v="-39105"/>
  </r>
  <r>
    <x v="5"/>
    <s v="High"/>
    <x v="488"/>
    <n v="260"/>
    <n v="12"/>
    <n v="29700"/>
    <x v="482"/>
    <x v="527"/>
    <n v="7425"/>
    <n v="17820"/>
  </r>
  <r>
    <x v="5"/>
    <s v="High"/>
    <x v="228"/>
    <n v="260"/>
    <n v="15"/>
    <n v="26145"/>
    <x v="465"/>
    <x v="510"/>
    <n v="17430"/>
    <n v="4793.25"/>
  </r>
  <r>
    <x v="5"/>
    <s v="High"/>
    <x v="475"/>
    <n v="260"/>
    <n v="12"/>
    <n v="34968"/>
    <x v="466"/>
    <x v="511"/>
    <n v="8742"/>
    <n v="20980.799999999999"/>
  </r>
  <r>
    <x v="5"/>
    <s v="High"/>
    <x v="476"/>
    <n v="260"/>
    <n v="7"/>
    <n v="12117"/>
    <x v="467"/>
    <x v="512"/>
    <n v="8655"/>
    <n v="1644.4500000000007"/>
  </r>
  <r>
    <x v="5"/>
    <s v="High"/>
    <x v="473"/>
    <n v="260"/>
    <n v="7"/>
    <n v="12089"/>
    <x v="462"/>
    <x v="507"/>
    <n v="8635"/>
    <n v="1640.6499999999996"/>
  </r>
  <r>
    <x v="5"/>
    <s v="High"/>
    <x v="364"/>
    <n v="260"/>
    <n v="15"/>
    <n v="28050"/>
    <x v="483"/>
    <x v="528"/>
    <n v="18700"/>
    <n v="5142.5"/>
  </r>
  <r>
    <x v="0"/>
    <s v="High"/>
    <x v="489"/>
    <n v="3"/>
    <n v="125"/>
    <n v="146750"/>
    <x v="484"/>
    <x v="529"/>
    <n v="140880"/>
    <n v="-16142.5"/>
  </r>
  <r>
    <x v="0"/>
    <s v="High"/>
    <x v="490"/>
    <n v="3"/>
    <n v="125"/>
    <n v="345875"/>
    <x v="485"/>
    <x v="530"/>
    <n v="332040"/>
    <n v="-38046.25"/>
  </r>
  <r>
    <x v="0"/>
    <s v="High"/>
    <x v="491"/>
    <n v="3"/>
    <n v="125"/>
    <n v="135625"/>
    <x v="486"/>
    <x v="531"/>
    <n v="130200"/>
    <n v="-14918.75"/>
  </r>
  <r>
    <x v="1"/>
    <s v="High"/>
    <x v="492"/>
    <n v="5"/>
    <n v="300"/>
    <n v="163800"/>
    <x v="487"/>
    <x v="532"/>
    <n v="136500"/>
    <n v="2730"/>
  </r>
  <r>
    <x v="2"/>
    <s v="High"/>
    <x v="493"/>
    <n v="10"/>
    <n v="20"/>
    <n v="23160"/>
    <x v="488"/>
    <x v="533"/>
    <n v="11580"/>
    <n v="8106"/>
  </r>
  <r>
    <x v="2"/>
    <s v="High"/>
    <x v="494"/>
    <n v="10"/>
    <n v="15"/>
    <n v="24210"/>
    <x v="489"/>
    <x v="534"/>
    <n v="16140"/>
    <n v="4438.5"/>
  </r>
  <r>
    <x v="2"/>
    <s v="High"/>
    <x v="495"/>
    <n v="10"/>
    <n v="7"/>
    <n v="17745"/>
    <x v="490"/>
    <x v="535"/>
    <n v="12675"/>
    <n v="2408.25"/>
  </r>
  <r>
    <x v="2"/>
    <s v="High"/>
    <x v="136"/>
    <n v="10"/>
    <n v="350"/>
    <n v="997850"/>
    <x v="491"/>
    <x v="536"/>
    <n v="741260"/>
    <n v="106912.5"/>
  </r>
  <r>
    <x v="2"/>
    <s v="High"/>
    <x v="496"/>
    <n v="10"/>
    <n v="15"/>
    <n v="38385"/>
    <x v="492"/>
    <x v="537"/>
    <n v="25590"/>
    <n v="7037.25"/>
  </r>
  <r>
    <x v="2"/>
    <s v="High"/>
    <x v="497"/>
    <n v="10"/>
    <n v="20"/>
    <n v="5340"/>
    <x v="493"/>
    <x v="538"/>
    <n v="2670"/>
    <n v="1869"/>
  </r>
  <r>
    <x v="2"/>
    <s v="High"/>
    <x v="491"/>
    <n v="10"/>
    <n v="125"/>
    <n v="135625"/>
    <x v="486"/>
    <x v="531"/>
    <n v="130200"/>
    <n v="-14918.75"/>
  </r>
  <r>
    <x v="2"/>
    <s v="High"/>
    <x v="498"/>
    <n v="10"/>
    <n v="15"/>
    <n v="17625"/>
    <x v="494"/>
    <x v="539"/>
    <n v="11750"/>
    <n v="3231.25"/>
  </r>
  <r>
    <x v="2"/>
    <s v="High"/>
    <x v="499"/>
    <n v="10"/>
    <n v="350"/>
    <n v="702450"/>
    <x v="495"/>
    <x v="540"/>
    <n v="521820"/>
    <n v="75262.5"/>
  </r>
  <r>
    <x v="2"/>
    <s v="High"/>
    <x v="35"/>
    <n v="10"/>
    <n v="350"/>
    <n v="752850"/>
    <x v="496"/>
    <x v="541"/>
    <n v="559260"/>
    <n v="80662.5"/>
  </r>
  <r>
    <x v="2"/>
    <s v="High"/>
    <x v="500"/>
    <n v="10"/>
    <n v="12"/>
    <n v="10968"/>
    <x v="497"/>
    <x v="542"/>
    <n v="2742"/>
    <n v="6580.7999999999993"/>
  </r>
  <r>
    <x v="2"/>
    <s v="High"/>
    <x v="459"/>
    <n v="10"/>
    <n v="20"/>
    <n v="5860"/>
    <x v="115"/>
    <x v="543"/>
    <n v="2930"/>
    <n v="2051"/>
  </r>
  <r>
    <x v="3"/>
    <s v="High"/>
    <x v="501"/>
    <n v="120"/>
    <n v="12"/>
    <n v="6000"/>
    <x v="498"/>
    <x v="544"/>
    <n v="1500"/>
    <n v="3600"/>
  </r>
  <r>
    <x v="3"/>
    <s v="High"/>
    <x v="502"/>
    <n v="120"/>
    <n v="15"/>
    <n v="42390"/>
    <x v="499"/>
    <x v="545"/>
    <n v="28260"/>
    <n v="7771.5"/>
  </r>
  <r>
    <x v="3"/>
    <s v="High"/>
    <x v="61"/>
    <n v="120"/>
    <n v="125"/>
    <n v="82875"/>
    <x v="500"/>
    <x v="546"/>
    <n v="79560"/>
    <n v="-9116.25"/>
  </r>
  <r>
    <x v="3"/>
    <s v="High"/>
    <x v="369"/>
    <n v="120"/>
    <n v="300"/>
    <n v="772200"/>
    <x v="501"/>
    <x v="547"/>
    <n v="643500"/>
    <n v="12870"/>
  </r>
  <r>
    <x v="3"/>
    <s v="High"/>
    <x v="503"/>
    <n v="120"/>
    <n v="125"/>
    <n v="304750"/>
    <x v="502"/>
    <x v="548"/>
    <n v="292560"/>
    <n v="-33522.5"/>
  </r>
  <r>
    <x v="3"/>
    <s v="High"/>
    <x v="500"/>
    <n v="120"/>
    <n v="12"/>
    <n v="10968"/>
    <x v="497"/>
    <x v="542"/>
    <n v="2742"/>
    <n v="6580.7999999999993"/>
  </r>
  <r>
    <x v="4"/>
    <s v="High"/>
    <x v="504"/>
    <n v="250"/>
    <n v="20"/>
    <n v="17310"/>
    <x v="503"/>
    <x v="549"/>
    <n v="8655"/>
    <n v="6058.5"/>
  </r>
  <r>
    <x v="4"/>
    <s v="High"/>
    <x v="505"/>
    <n v="250"/>
    <n v="15"/>
    <n v="7380"/>
    <x v="504"/>
    <x v="550"/>
    <n v="4920"/>
    <n v="1353"/>
  </r>
  <r>
    <x v="4"/>
    <s v="High"/>
    <x v="497"/>
    <n v="250"/>
    <n v="20"/>
    <n v="5340"/>
    <x v="493"/>
    <x v="538"/>
    <n v="2670"/>
    <n v="1869"/>
  </r>
  <r>
    <x v="4"/>
    <s v="High"/>
    <x v="498"/>
    <n v="250"/>
    <n v="15"/>
    <n v="17625"/>
    <x v="494"/>
    <x v="539"/>
    <n v="11750"/>
    <n v="3231.25"/>
  </r>
  <r>
    <x v="4"/>
    <s v="High"/>
    <x v="506"/>
    <n v="250"/>
    <n v="125"/>
    <n v="369250"/>
    <x v="505"/>
    <x v="551"/>
    <n v="354480"/>
    <n v="-40617.5"/>
  </r>
  <r>
    <x v="4"/>
    <s v="High"/>
    <x v="205"/>
    <n v="250"/>
    <n v="125"/>
    <n v="69000"/>
    <x v="506"/>
    <x v="552"/>
    <n v="66240"/>
    <n v="-7590"/>
  </r>
  <r>
    <x v="4"/>
    <s v="High"/>
    <x v="459"/>
    <n v="250"/>
    <n v="20"/>
    <n v="5860"/>
    <x v="115"/>
    <x v="543"/>
    <n v="2930"/>
    <n v="2051"/>
  </r>
  <r>
    <x v="5"/>
    <s v="High"/>
    <x v="488"/>
    <n v="260"/>
    <n v="300"/>
    <n v="742500"/>
    <x v="507"/>
    <x v="553"/>
    <n v="618750"/>
    <n v="12375"/>
  </r>
  <r>
    <x v="5"/>
    <s v="High"/>
    <x v="492"/>
    <n v="260"/>
    <n v="300"/>
    <n v="163800"/>
    <x v="487"/>
    <x v="532"/>
    <n v="136500"/>
    <n v="2730"/>
  </r>
  <r>
    <x v="1"/>
    <s v="High"/>
    <x v="507"/>
    <n v="5"/>
    <n v="7"/>
    <n v="9576"/>
    <x v="508"/>
    <x v="554"/>
    <n v="6840"/>
    <n v="1299.6000000000004"/>
  </r>
  <r>
    <x v="2"/>
    <s v="High"/>
    <x v="508"/>
    <n v="10"/>
    <n v="7"/>
    <n v="5061"/>
    <x v="509"/>
    <x v="555"/>
    <n v="3615"/>
    <n v="686.85000000000036"/>
  </r>
  <r>
    <x v="4"/>
    <s v="High"/>
    <x v="509"/>
    <n v="250"/>
    <n v="12"/>
    <n v="21672"/>
    <x v="510"/>
    <x v="556"/>
    <n v="5418"/>
    <n v="1300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2F9B4-8678-4319-AB53-D944684C21A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7">
    <pivotField showAll="0"/>
    <pivotField axis="axisRow" numFmtId="164" showAll="0">
      <items count="7">
        <item x="0"/>
        <item x="1"/>
        <item x="2"/>
        <item x="3"/>
        <item x="4"/>
        <item x="5"/>
        <item t="default"/>
      </items>
    </pivotField>
    <pivotField numFmtId="164" showAll="0">
      <items count="8">
        <item x="6"/>
        <item x="3"/>
        <item x="1"/>
        <item x="0"/>
        <item x="4"/>
        <item x="5"/>
        <item x="2"/>
        <item t="default"/>
      </items>
    </pivotField>
    <pivotField showAll="0">
      <items count="2">
        <item x="0"/>
        <item t="default"/>
      </items>
    </pivotField>
    <pivotField numFmtId="164"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showAll="0">
      <items count="2">
        <item x="0"/>
        <item t="default"/>
      </items>
    </pivotField>
    <pivotField dataField="1" numFmtId="164" showAll="0"/>
  </pivotFields>
  <rowFields count="1">
    <field x="1"/>
  </rowFields>
  <rowItems count="7">
    <i>
      <x/>
    </i>
    <i>
      <x v="1"/>
    </i>
    <i>
      <x v="2"/>
    </i>
    <i>
      <x v="3"/>
    </i>
    <i>
      <x v="4"/>
    </i>
    <i>
      <x v="5"/>
    </i>
    <i t="grand">
      <x/>
    </i>
  </rowItems>
  <colItems count="1">
    <i/>
  </colItems>
  <dataFields count="1">
    <dataField name="Sum of COGS" fld="6" baseField="0" baseItem="0" numFmtId="164"/>
  </dataField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33C0BF-400D-4B70-9806-22743590BF5D}"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H10" firstHeaderRow="1" firstDataRow="2" firstDataCol="1"/>
  <pivotFields count="6">
    <pivotField axis="axisRow" showAll="0">
      <items count="6">
        <item x="0"/>
        <item x="2"/>
        <item x="1"/>
        <item x="3"/>
        <item x="4"/>
        <item t="default"/>
      </items>
    </pivotField>
    <pivotField axis="axisCol" showAll="0">
      <items count="7">
        <item x="5"/>
        <item x="0"/>
        <item x="1"/>
        <item x="2"/>
        <item x="3"/>
        <item x="4"/>
        <item t="default"/>
      </items>
    </pivotField>
    <pivotField showAll="0"/>
    <pivotField dataField="1" showAll="0"/>
    <pivotField numFmtId="164" showAll="0"/>
    <pivotField numFmtId="164" showAl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Units Sold" fld="3" baseField="0" baseItem="0"/>
  </dataFields>
  <chartFormats count="9">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38059-9382-4F62-8DC8-111273F9BBE2}"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0" firstHeaderRow="0" firstDataRow="1" firstDataCol="1"/>
  <pivotFields count="10">
    <pivotField axis="axisRow" showAll="0">
      <items count="7">
        <item x="5"/>
        <item x="0"/>
        <item x="1"/>
        <item x="2"/>
        <item x="3"/>
        <item x="4"/>
        <item t="default"/>
      </items>
    </pivotField>
    <pivotField showAll="0"/>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numFmtId="164" showAll="0"/>
    <pivotField dataField="1" numFmtId="164" showAll="0">
      <items count="558">
        <item x="280"/>
        <item x="216"/>
        <item x="489"/>
        <item x="490"/>
        <item x="73"/>
        <item x="426"/>
        <item x="353"/>
        <item x="506"/>
        <item x="70"/>
        <item x="278"/>
        <item x="151"/>
        <item x="350"/>
        <item x="358"/>
        <item x="331"/>
        <item x="247"/>
        <item x="491"/>
        <item x="177"/>
        <item x="118"/>
        <item x="359"/>
        <item x="316"/>
        <item x="369"/>
        <item x="482"/>
        <item x="44"/>
        <item x="295"/>
        <item x="555"/>
        <item x="18"/>
        <item x="508"/>
        <item x="538"/>
        <item x="78"/>
        <item x="394"/>
        <item x="443"/>
        <item x="393"/>
        <item x="543"/>
        <item x="544"/>
        <item x="348"/>
        <item x="474"/>
        <item x="15"/>
        <item x="213"/>
        <item x="465"/>
        <item x="19"/>
        <item x="550"/>
        <item x="175"/>
        <item x="302"/>
        <item x="244"/>
        <item x="371"/>
        <item x="282"/>
        <item x="43"/>
        <item x="292"/>
        <item x="480"/>
        <item x="246"/>
        <item x="164"/>
        <item x="199"/>
        <item x="462"/>
        <item x="464"/>
        <item x="240"/>
        <item x="314"/>
        <item x="86"/>
        <item x="291"/>
        <item x="23"/>
        <item x="554"/>
        <item x="380"/>
        <item x="20"/>
        <item x="416"/>
        <item x="239"/>
        <item x="481"/>
        <item x="468"/>
        <item x="431"/>
        <item x="165"/>
        <item x="370"/>
        <item x="52"/>
        <item x="45"/>
        <item x="220"/>
        <item x="457"/>
        <item x="14"/>
        <item x="542"/>
        <item x="395"/>
        <item x="227"/>
        <item x="340"/>
        <item x="154"/>
        <item x="289"/>
        <item x="158"/>
        <item x="248"/>
        <item x="296"/>
        <item x="372"/>
        <item x="322"/>
        <item x="396"/>
        <item x="507"/>
        <item x="512"/>
        <item x="518"/>
        <item x="478"/>
        <item x="103"/>
        <item x="115"/>
        <item x="28"/>
        <item x="270"/>
        <item x="169"/>
        <item x="67"/>
        <item x="418"/>
        <item x="25"/>
        <item x="266"/>
        <item x="286"/>
        <item x="133"/>
        <item x="39"/>
        <item x="347"/>
        <item x="99"/>
        <item x="172"/>
        <item x="170"/>
        <item x="59"/>
        <item x="391"/>
        <item x="301"/>
        <item x="100"/>
        <item x="285"/>
        <item x="84"/>
        <item x="116"/>
        <item x="345"/>
        <item x="3"/>
        <item x="98"/>
        <item x="264"/>
        <item x="197"/>
        <item x="6"/>
        <item x="360"/>
        <item x="72"/>
        <item x="138"/>
        <item x="494"/>
        <item x="82"/>
        <item x="433"/>
        <item x="16"/>
        <item x="188"/>
        <item x="549"/>
        <item x="304"/>
        <item x="80"/>
        <item x="166"/>
        <item x="313"/>
        <item x="539"/>
        <item x="12"/>
        <item x="392"/>
        <item x="535"/>
        <item x="297"/>
        <item x="438"/>
        <item x="237"/>
        <item x="125"/>
        <item x="178"/>
        <item x="132"/>
        <item x="376"/>
        <item x="475"/>
        <item x="403"/>
        <item x="434"/>
        <item x="49"/>
        <item x="328"/>
        <item x="155"/>
        <item x="48"/>
        <item x="167"/>
        <item x="245"/>
        <item x="349"/>
        <item x="522"/>
        <item x="351"/>
        <item x="419"/>
        <item x="488"/>
        <item x="110"/>
        <item x="238"/>
        <item x="485"/>
        <item x="303"/>
        <item x="556"/>
        <item x="9"/>
        <item x="204"/>
        <item x="352"/>
        <item x="249"/>
        <item x="139"/>
        <item x="408"/>
        <item x="330"/>
        <item x="500"/>
        <item x="533"/>
        <item x="398"/>
        <item x="402"/>
        <item x="476"/>
        <item x="153"/>
        <item x="211"/>
        <item x="277"/>
        <item x="171"/>
        <item x="230"/>
        <item x="241"/>
        <item x="94"/>
        <item x="452"/>
        <item x="495"/>
        <item x="534"/>
        <item x="226"/>
        <item x="444"/>
        <item x="337"/>
        <item x="46"/>
        <item x="467"/>
        <item x="354"/>
        <item x="447"/>
        <item x="62"/>
        <item x="117"/>
        <item x="129"/>
        <item x="357"/>
        <item x="114"/>
        <item x="510"/>
        <item x="493"/>
        <item x="514"/>
        <item x="77"/>
        <item x="206"/>
        <item x="279"/>
        <item x="37"/>
        <item x="184"/>
        <item x="109"/>
        <item x="236"/>
        <item x="528"/>
        <item x="250"/>
        <item x="342"/>
        <item x="293"/>
        <item x="411"/>
        <item x="214"/>
        <item x="192"/>
        <item x="320"/>
        <item x="527"/>
        <item x="243"/>
        <item x="182"/>
        <item x="413"/>
        <item x="268"/>
        <item x="40"/>
        <item x="30"/>
        <item x="456"/>
        <item x="58"/>
        <item x="41"/>
        <item x="168"/>
        <item x="365"/>
        <item x="1"/>
        <item x="455"/>
        <item x="312"/>
        <item x="215"/>
        <item x="97"/>
        <item x="406"/>
        <item x="368"/>
        <item x="260"/>
        <item x="127"/>
        <item x="142"/>
        <item x="173"/>
        <item x="458"/>
        <item x="135"/>
        <item x="145"/>
        <item x="258"/>
        <item x="203"/>
        <item x="198"/>
        <item x="136"/>
        <item x="435"/>
        <item x="501"/>
        <item x="221"/>
        <item x="487"/>
        <item x="235"/>
        <item x="511"/>
        <item x="85"/>
        <item x="263"/>
        <item x="63"/>
        <item x="7"/>
        <item x="51"/>
        <item x="346"/>
        <item x="509"/>
        <item x="56"/>
        <item x="234"/>
        <item x="137"/>
        <item x="26"/>
        <item x="0"/>
        <item x="195"/>
        <item x="453"/>
        <item x="537"/>
        <item x="2"/>
        <item x="42"/>
        <item x="459"/>
        <item x="242"/>
        <item x="366"/>
        <item x="88"/>
        <item x="284"/>
        <item x="33"/>
        <item x="430"/>
        <item x="389"/>
        <item x="298"/>
        <item x="271"/>
        <item x="190"/>
        <item x="355"/>
        <item x="254"/>
        <item x="388"/>
        <item x="545"/>
        <item x="379"/>
        <item x="27"/>
        <item x="4"/>
        <item x="22"/>
        <item x="176"/>
        <item x="8"/>
        <item x="466"/>
        <item x="212"/>
        <item x="200"/>
        <item x="50"/>
        <item x="152"/>
        <item x="259"/>
        <item x="412"/>
        <item x="397"/>
        <item x="410"/>
        <item x="492"/>
        <item x="207"/>
        <item x="454"/>
        <item x="13"/>
        <item x="486"/>
        <item x="423"/>
        <item x="470"/>
        <item x="471"/>
        <item x="415"/>
        <item x="196"/>
        <item x="356"/>
        <item x="112"/>
        <item x="448"/>
        <item x="327"/>
        <item x="421"/>
        <item x="156"/>
        <item x="405"/>
        <item x="479"/>
        <item x="202"/>
        <item x="210"/>
        <item x="299"/>
        <item x="552"/>
        <item x="420"/>
        <item x="505"/>
        <item x="81"/>
        <item x="385"/>
        <item x="334"/>
        <item x="520"/>
        <item x="546"/>
        <item x="134"/>
        <item x="69"/>
        <item x="106"/>
        <item x="91"/>
        <item x="61"/>
        <item x="194"/>
        <item x="451"/>
        <item x="64"/>
        <item x="319"/>
        <item x="79"/>
        <item x="104"/>
        <item x="324"/>
        <item x="201"/>
        <item x="141"/>
        <item x="65"/>
        <item x="146"/>
        <item x="92"/>
        <item x="193"/>
        <item x="343"/>
        <item x="217"/>
        <item x="425"/>
        <item x="417"/>
        <item x="305"/>
        <item x="477"/>
        <item x="224"/>
        <item x="497"/>
        <item x="71"/>
        <item x="382"/>
        <item x="276"/>
        <item x="531"/>
        <item x="159"/>
        <item x="308"/>
        <item x="252"/>
        <item x="529"/>
        <item x="290"/>
        <item x="161"/>
        <item x="309"/>
        <item x="144"/>
        <item x="532"/>
        <item x="53"/>
        <item x="367"/>
        <item x="424"/>
        <item x="120"/>
        <item x="362"/>
        <item x="517"/>
        <item x="473"/>
        <item x="374"/>
        <item x="306"/>
        <item x="281"/>
        <item x="209"/>
        <item x="484"/>
        <item x="307"/>
        <item x="274"/>
        <item x="449"/>
        <item x="124"/>
        <item x="189"/>
        <item x="373"/>
        <item x="364"/>
        <item x="113"/>
        <item x="87"/>
        <item x="121"/>
        <item x="377"/>
        <item x="496"/>
        <item x="469"/>
        <item x="76"/>
        <item x="513"/>
        <item x="321"/>
        <item x="390"/>
        <item x="123"/>
        <item x="66"/>
        <item x="378"/>
        <item x="311"/>
        <item x="407"/>
        <item x="232"/>
        <item x="29"/>
        <item x="525"/>
        <item x="181"/>
        <item x="404"/>
        <item x="223"/>
        <item x="429"/>
        <item x="267"/>
        <item x="399"/>
        <item x="21"/>
        <item x="335"/>
        <item x="126"/>
        <item x="450"/>
        <item x="93"/>
        <item x="428"/>
        <item x="499"/>
        <item x="272"/>
        <item x="548"/>
        <item x="401"/>
        <item x="89"/>
        <item x="427"/>
        <item x="174"/>
        <item x="186"/>
        <item x="383"/>
        <item x="108"/>
        <item x="460"/>
        <item x="75"/>
        <item x="255"/>
        <item x="11"/>
        <item x="463"/>
        <item x="446"/>
        <item x="530"/>
        <item x="315"/>
        <item x="183"/>
        <item x="502"/>
        <item x="526"/>
        <item x="436"/>
        <item x="261"/>
        <item x="218"/>
        <item x="225"/>
        <item x="74"/>
        <item x="107"/>
        <item x="551"/>
        <item x="323"/>
        <item x="96"/>
        <item x="228"/>
        <item x="10"/>
        <item x="422"/>
        <item x="185"/>
        <item x="205"/>
        <item x="288"/>
        <item x="440"/>
        <item x="414"/>
        <item x="515"/>
        <item x="17"/>
        <item x="31"/>
        <item x="150"/>
        <item x="442"/>
        <item x="504"/>
        <item x="329"/>
        <item x="361"/>
        <item x="269"/>
        <item x="262"/>
        <item x="524"/>
        <item x="498"/>
        <item x="191"/>
        <item x="257"/>
        <item x="336"/>
        <item x="47"/>
        <item x="147"/>
        <item x="180"/>
        <item x="333"/>
        <item x="445"/>
        <item x="287"/>
        <item x="208"/>
        <item x="339"/>
        <item x="283"/>
        <item x="187"/>
        <item x="179"/>
        <item x="265"/>
        <item x="432"/>
        <item x="256"/>
        <item x="219"/>
        <item x="54"/>
        <item x="222"/>
        <item x="439"/>
        <item x="90"/>
        <item x="111"/>
        <item x="341"/>
        <item x="318"/>
        <item x="38"/>
        <item x="233"/>
        <item x="5"/>
        <item x="143"/>
        <item x="461"/>
        <item x="130"/>
        <item x="34"/>
        <item x="131"/>
        <item x="95"/>
        <item x="441"/>
        <item x="251"/>
        <item x="384"/>
        <item x="516"/>
        <item x="140"/>
        <item x="310"/>
        <item x="375"/>
        <item x="253"/>
        <item x="163"/>
        <item x="540"/>
        <item x="119"/>
        <item x="32"/>
        <item x="24"/>
        <item x="160"/>
        <item x="409"/>
        <item x="519"/>
        <item x="553"/>
        <item x="162"/>
        <item x="541"/>
        <item x="105"/>
        <item x="35"/>
        <item x="521"/>
        <item x="523"/>
        <item x="344"/>
        <item x="229"/>
        <item x="57"/>
        <item x="547"/>
        <item x="231"/>
        <item x="503"/>
        <item x="294"/>
        <item x="483"/>
        <item x="386"/>
        <item x="300"/>
        <item x="363"/>
        <item x="325"/>
        <item x="122"/>
        <item x="60"/>
        <item x="55"/>
        <item x="400"/>
        <item x="338"/>
        <item x="157"/>
        <item x="273"/>
        <item x="326"/>
        <item x="387"/>
        <item x="472"/>
        <item x="128"/>
        <item x="68"/>
        <item x="148"/>
        <item x="381"/>
        <item x="536"/>
        <item x="437"/>
        <item x="275"/>
        <item x="83"/>
        <item x="102"/>
        <item x="36"/>
        <item x="101"/>
        <item x="332"/>
        <item x="317"/>
        <item x="149"/>
        <item t="default"/>
      </items>
    </pivotField>
    <pivotField numFmtId="164" showAll="0"/>
    <pivotField dataField="1" numFmtId="164" showAll="0"/>
  </pivotFields>
  <rowFields count="1">
    <field x="0"/>
  </rowFields>
  <rowItems count="7">
    <i>
      <x/>
    </i>
    <i>
      <x v="1"/>
    </i>
    <i>
      <x v="2"/>
    </i>
    <i>
      <x v="3"/>
    </i>
    <i>
      <x v="4"/>
    </i>
    <i>
      <x v="5"/>
    </i>
    <i t="grand">
      <x/>
    </i>
  </rowItems>
  <colFields count="1">
    <field x="-2"/>
  </colFields>
  <colItems count="2">
    <i>
      <x/>
    </i>
    <i i="1">
      <x v="1"/>
    </i>
  </colItems>
  <dataFields count="2">
    <dataField name="Sum of  Sales" fld="7" baseField="0" baseItem="0" numFmtId="164"/>
    <dataField name="Sum of Profit" fld="9" baseField="0" baseItem="0" numFmtId="164"/>
  </dataFields>
  <chartFormats count="2">
    <chartFormat chart="0" format="107" series="1">
      <pivotArea type="data" outline="0" fieldPosition="0">
        <references count="1">
          <reference field="4294967294" count="1" selected="0">
            <x v="0"/>
          </reference>
        </references>
      </pivotArea>
    </chartFormat>
    <chartFormat chart="0" format="10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4EE54-9858-4C96-90E3-DB9944775C09}"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15" firstHeaderRow="1" firstDataRow="1" firstDataCol="1"/>
  <pivotFields count="10">
    <pivotField showAll="0"/>
    <pivotField showAll="0"/>
    <pivotField showAll="0"/>
    <pivotField numFmtId="164" showAll="0"/>
    <pivotField numFmtId="164" showAll="0"/>
    <pivotField numFmtId="164" showAll="0"/>
    <pivotField axis="axisRow" numFmtId="164" showAll="0">
      <items count="512">
        <item x="0"/>
        <item x="33"/>
        <item x="30"/>
        <item x="111"/>
        <item x="239"/>
        <item x="176"/>
        <item x="78"/>
        <item x="4"/>
        <item x="38"/>
        <item x="311"/>
        <item x="444"/>
        <item x="445"/>
        <item x="237"/>
        <item x="3"/>
        <item x="308"/>
        <item x="316"/>
        <item x="290"/>
        <item x="206"/>
        <item x="137"/>
        <item x="461"/>
        <item x="46"/>
        <item x="275"/>
        <item x="12"/>
        <item x="5"/>
        <item x="254"/>
        <item x="114"/>
        <item x="118"/>
        <item x="63"/>
        <item x="75"/>
        <item x="27"/>
        <item x="306"/>
        <item x="93"/>
        <item x="446"/>
        <item x="59"/>
        <item x="19"/>
        <item x="60"/>
        <item x="173"/>
        <item x="44"/>
        <item x="76"/>
        <item x="317"/>
        <item x="58"/>
        <item x="135"/>
        <item x="261"/>
        <item x="203"/>
        <item x="327"/>
        <item x="32"/>
        <item x="241"/>
        <item x="98"/>
        <item x="437"/>
        <item x="42"/>
        <item x="509"/>
        <item x="251"/>
        <item x="40"/>
        <item x="463"/>
        <item x="205"/>
        <item x="493"/>
        <item x="124"/>
        <item x="85"/>
        <item x="92"/>
        <item x="159"/>
        <item x="353"/>
        <item x="400"/>
        <item x="352"/>
        <item x="9"/>
        <item x="199"/>
        <item x="273"/>
        <item x="115"/>
        <item x="250"/>
        <item x="8"/>
        <item x="498"/>
        <item x="198"/>
        <item x="70"/>
        <item x="125"/>
        <item x="179"/>
        <item x="99"/>
        <item x="429"/>
        <item x="186"/>
        <item x="113"/>
        <item x="248"/>
        <item x="54"/>
        <item x="420"/>
        <item x="504"/>
        <item x="207"/>
        <item x="6"/>
        <item x="255"/>
        <item x="281"/>
        <item x="22"/>
        <item x="77"/>
        <item x="329"/>
        <item x="89"/>
        <item x="74"/>
        <item x="229"/>
        <item x="129"/>
        <item x="37"/>
        <item x="225"/>
        <item x="69"/>
        <item x="435"/>
        <item x="245"/>
        <item x="305"/>
        <item x="132"/>
        <item x="130"/>
        <item x="260"/>
        <item x="419"/>
        <item x="18"/>
        <item x="1"/>
        <item x="244"/>
        <item x="508"/>
        <item x="338"/>
        <item x="57"/>
        <item x="303"/>
        <item x="87"/>
        <item x="375"/>
        <item x="102"/>
        <item x="436"/>
        <item x="95"/>
        <item x="223"/>
        <item x="105"/>
        <item x="157"/>
        <item x="423"/>
        <item x="96"/>
        <item x="328"/>
        <item x="414"/>
        <item x="45"/>
        <item x="23"/>
        <item x="11"/>
        <item x="148"/>
        <item x="263"/>
        <item x="126"/>
        <item x="497"/>
        <item x="272"/>
        <item x="354"/>
        <item x="16"/>
        <item x="256"/>
        <item x="97"/>
        <item x="2"/>
        <item x="196"/>
        <item x="138"/>
        <item x="48"/>
        <item x="330"/>
        <item x="355"/>
        <item x="462"/>
        <item x="467"/>
        <item x="473"/>
        <item x="433"/>
        <item x="287"/>
        <item x="127"/>
        <item x="204"/>
        <item x="307"/>
        <item x="377"/>
        <item x="309"/>
        <item x="197"/>
        <item x="262"/>
        <item x="10"/>
        <item x="164"/>
        <item x="112"/>
        <item x="310"/>
        <item x="208"/>
        <item x="289"/>
        <item x="350"/>
        <item x="171"/>
        <item x="236"/>
        <item x="131"/>
        <item x="189"/>
        <item x="200"/>
        <item x="185"/>
        <item x="296"/>
        <item x="312"/>
        <item x="318"/>
        <item x="315"/>
        <item x="449"/>
        <item x="166"/>
        <item x="390"/>
        <item x="238"/>
        <item x="72"/>
        <item x="503"/>
        <item x="144"/>
        <item x="195"/>
        <item x="494"/>
        <item x="116"/>
        <item x="209"/>
        <item x="351"/>
        <item x="490"/>
        <item x="300"/>
        <item x="395"/>
        <item x="252"/>
        <item x="174"/>
        <item x="152"/>
        <item x="279"/>
        <item x="334"/>
        <item x="202"/>
        <item x="142"/>
        <item x="430"/>
        <item x="362"/>
        <item x="227"/>
        <item x="391"/>
        <item x="128"/>
        <item x="271"/>
        <item x="175"/>
        <item x="477"/>
        <item x="219"/>
        <item x="378"/>
        <item x="133"/>
        <item x="443"/>
        <item x="217"/>
        <item x="163"/>
        <item x="158"/>
        <item x="440"/>
        <item x="41"/>
        <item x="510"/>
        <item x="180"/>
        <item x="194"/>
        <item x="222"/>
        <item x="367"/>
        <item x="304"/>
        <item x="455"/>
        <item x="488"/>
        <item x="357"/>
        <item x="361"/>
        <item x="193"/>
        <item x="431"/>
        <item x="409"/>
        <item x="155"/>
        <item x="450"/>
        <item x="489"/>
        <item x="201"/>
        <item x="401"/>
        <item x="422"/>
        <item x="243"/>
        <item x="404"/>
        <item x="94"/>
        <item x="29"/>
        <item x="257"/>
        <item x="66"/>
        <item x="230"/>
        <item x="465"/>
        <item x="150"/>
        <item x="313"/>
        <item x="213"/>
        <item x="448"/>
        <item x="469"/>
        <item x="51"/>
        <item x="21"/>
        <item x="136"/>
        <item x="483"/>
        <item x="172"/>
        <item x="160"/>
        <item x="370"/>
        <item x="218"/>
        <item x="482"/>
        <item x="372"/>
        <item x="24"/>
        <item x="413"/>
        <item x="167"/>
        <item x="348"/>
        <item x="39"/>
        <item x="64"/>
        <item x="323"/>
        <item x="412"/>
        <item x="101"/>
        <item x="365"/>
        <item x="326"/>
        <item x="25"/>
        <item x="106"/>
        <item x="415"/>
        <item x="52"/>
        <item x="392"/>
        <item x="456"/>
        <item x="442"/>
        <item x="466"/>
        <item x="156"/>
        <item x="314"/>
        <item x="286"/>
        <item x="464"/>
        <item x="162"/>
        <item x="170"/>
        <item x="410"/>
        <item x="492"/>
        <item x="31"/>
        <item x="416"/>
        <item x="324"/>
        <item x="258"/>
        <item x="388"/>
        <item x="119"/>
        <item x="347"/>
        <item x="346"/>
        <item x="499"/>
        <item x="337"/>
        <item x="121"/>
        <item x="421"/>
        <item x="293"/>
        <item x="104"/>
        <item x="371"/>
        <item x="356"/>
        <item x="369"/>
        <item x="447"/>
        <item x="13"/>
        <item x="411"/>
        <item x="441"/>
        <item x="382"/>
        <item x="425"/>
        <item x="80"/>
        <item x="426"/>
        <item x="374"/>
        <item x="405"/>
        <item x="154"/>
        <item x="380"/>
        <item x="364"/>
        <item x="434"/>
        <item x="278"/>
        <item x="84"/>
        <item x="283"/>
        <item x="161"/>
        <item x="73"/>
        <item x="506"/>
        <item x="47"/>
        <item x="379"/>
        <item x="460"/>
        <item x="81"/>
        <item x="153"/>
        <item x="343"/>
        <item x="36"/>
        <item x="301"/>
        <item x="83"/>
        <item x="26"/>
        <item x="264"/>
        <item x="183"/>
        <item x="475"/>
        <item x="235"/>
        <item x="500"/>
        <item x="86"/>
        <item x="267"/>
        <item x="53"/>
        <item x="211"/>
        <item x="49"/>
        <item x="249"/>
        <item x="408"/>
        <item x="68"/>
        <item x="268"/>
        <item x="35"/>
        <item x="34"/>
        <item x="67"/>
        <item x="56"/>
        <item x="384"/>
        <item x="376"/>
        <item x="110"/>
        <item x="432"/>
        <item x="265"/>
        <item x="452"/>
        <item x="240"/>
        <item x="169"/>
        <item x="340"/>
        <item x="266"/>
        <item x="486"/>
        <item x="233"/>
        <item x="149"/>
        <item x="7"/>
        <item x="107"/>
        <item x="484"/>
        <item x="280"/>
        <item x="270"/>
        <item x="14"/>
        <item x="487"/>
        <item x="191"/>
        <item x="141"/>
        <item x="182"/>
        <item x="50"/>
        <item x="226"/>
        <item x="294"/>
        <item x="71"/>
        <item x="325"/>
        <item x="383"/>
        <item x="320"/>
        <item x="103"/>
        <item x="90"/>
        <item x="91"/>
        <item x="55"/>
        <item x="231"/>
        <item x="472"/>
        <item x="428"/>
        <item x="134"/>
        <item x="146"/>
        <item x="332"/>
        <item x="100"/>
        <item x="439"/>
        <item x="123"/>
        <item x="214"/>
        <item x="79"/>
        <item x="120"/>
        <item x="406"/>
        <item x="274"/>
        <item x="143"/>
        <item x="122"/>
        <item x="331"/>
        <item x="220"/>
        <item x="322"/>
        <item x="65"/>
        <item x="177"/>
        <item x="184"/>
        <item x="17"/>
        <item x="282"/>
        <item x="335"/>
        <item x="451"/>
        <item x="424"/>
        <item x="82"/>
        <item x="187"/>
        <item x="468"/>
        <item x="349"/>
        <item x="145"/>
        <item x="20"/>
        <item x="165"/>
        <item x="15"/>
        <item x="117"/>
        <item x="336"/>
        <item x="247"/>
        <item x="366"/>
        <item x="288"/>
        <item x="480"/>
        <item x="363"/>
        <item x="387"/>
        <item x="228"/>
        <item x="358"/>
        <item x="221"/>
        <item x="88"/>
        <item x="151"/>
        <item x="28"/>
        <item x="108"/>
        <item x="216"/>
        <item x="295"/>
        <item x="407"/>
        <item x="386"/>
        <item x="140"/>
        <item x="454"/>
        <item x="502"/>
        <item x="292"/>
        <item x="360"/>
        <item x="385"/>
        <item x="246"/>
        <item x="168"/>
        <item x="298"/>
        <item x="341"/>
        <item x="242"/>
        <item x="147"/>
        <item x="139"/>
        <item x="224"/>
        <item x="43"/>
        <item x="62"/>
        <item x="215"/>
        <item x="178"/>
        <item x="418"/>
        <item x="403"/>
        <item x="485"/>
        <item x="61"/>
        <item x="181"/>
        <item x="457"/>
        <item x="481"/>
        <item x="393"/>
        <item x="505"/>
        <item x="299"/>
        <item x="277"/>
        <item x="192"/>
        <item x="381"/>
        <item x="109"/>
        <item x="397"/>
        <item x="373"/>
        <item x="210"/>
        <item x="470"/>
        <item x="399"/>
        <item x="459"/>
        <item x="269"/>
        <item x="319"/>
        <item x="212"/>
        <item x="479"/>
        <item x="453"/>
        <item x="302"/>
        <item x="188"/>
        <item x="190"/>
        <item x="402"/>
        <item x="253"/>
        <item x="259"/>
        <item x="284"/>
        <item x="297"/>
        <item x="389"/>
        <item x="232"/>
        <item x="396"/>
        <item x="285"/>
        <item x="417"/>
        <item x="398"/>
        <item x="342"/>
        <item x="234"/>
        <item x="471"/>
        <item x="333"/>
        <item x="495"/>
        <item x="368"/>
        <item x="474"/>
        <item x="507"/>
        <item x="496"/>
        <item x="291"/>
        <item x="276"/>
        <item x="476"/>
        <item x="478"/>
        <item x="501"/>
        <item x="458"/>
        <item x="438"/>
        <item x="344"/>
        <item x="321"/>
        <item x="359"/>
        <item x="345"/>
        <item x="427"/>
        <item x="339"/>
        <item x="491"/>
        <item x="394"/>
        <item t="default"/>
      </items>
    </pivotField>
    <pivotField numFmtId="164" showAll="0"/>
    <pivotField numFmtId="164" showAll="0"/>
    <pivotField dataField="1" numFmtId="164" showAll="0"/>
  </pivotFields>
  <rowFields count="1">
    <field x="6"/>
  </rowFields>
  <rowItems count="5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t="grand">
      <x/>
    </i>
  </rowItems>
  <colItems count="1">
    <i/>
  </colItems>
  <dataFields count="1">
    <dataField name="Sum of Profit"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Price" xr10:uid="{C6B28D59-84B7-46BE-9FA4-4BE2487DB1F5}" sourceName="Sale Price">
  <pivotTables>
    <pivotTable tabId="2" name="PivotTable1"/>
  </pivotTables>
  <data>
    <tabular pivotCacheId="268757021">
      <items count="7">
        <i x="6" s="1"/>
        <i x="3" s="1"/>
        <i x="1" s="1"/>
        <i x="0" s="1"/>
        <i x="4"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 xr10:uid="{55D1111B-E442-478C-86C9-CAACEE91FC11}" sourceName="Discounts">
  <pivotTables>
    <pivotTable tabId="2" name="PivotTable1"/>
  </pivotTables>
  <data>
    <tabular pivotCacheId="268757021">
      <items count="515">
        <i x="0" s="1"/>
        <i x="33" s="1"/>
        <i x="30" s="1"/>
        <i x="4" s="1"/>
        <i x="38" s="1"/>
        <i x="3" s="1"/>
        <i x="12" s="1"/>
        <i x="5" s="1"/>
        <i x="176" s="1"/>
        <i x="27" s="1"/>
        <i x="78" s="1"/>
        <i x="19" s="1"/>
        <i x="110" s="1"/>
        <i x="238" s="1"/>
        <i x="32" s="1"/>
        <i x="46" s="1"/>
        <i x="9" s="1"/>
        <i x="8" s="1"/>
        <i x="137" s="1"/>
        <i x="63" s="1"/>
        <i x="6" s="1"/>
        <i x="311" s="1"/>
        <i x="22" s="1"/>
        <i x="37" s="1"/>
        <i x="59" s="1"/>
        <i x="60" s="1"/>
        <i x="206" s="1"/>
        <i x="236" s="1"/>
        <i x="44" s="1"/>
        <i x="447" s="1"/>
        <i x="18" s="1"/>
        <i x="1" s="1"/>
        <i x="58" s="1"/>
        <i x="448" s="1"/>
        <i x="385" s="1"/>
        <i x="42" s="1"/>
        <i x="40" s="1"/>
        <i x="23" s="1"/>
        <i x="11" s="1"/>
        <i x="75" s="1"/>
        <i x="308" s="1"/>
        <i x="316" s="1"/>
        <i x="289" s="1"/>
        <i x="16" s="1"/>
        <i x="2" s="1"/>
        <i x="135" s="1"/>
        <i x="93" s="1"/>
        <i x="70" s="1"/>
        <i x="253" s="1"/>
        <i x="464" s="1"/>
        <i x="274" s="1"/>
        <i x="113" s="1"/>
        <i x="173" s="1"/>
        <i x="124" s="1"/>
        <i x="76" s="1"/>
        <i x="10" s="1"/>
        <i x="118" s="1"/>
        <i x="159" s="1"/>
        <i x="54" s="1"/>
        <i x="317" s="1"/>
        <i x="125" s="1"/>
        <i x="327" s="1"/>
        <i x="85" s="1"/>
        <i x="69" s="1"/>
        <i x="92" s="1"/>
        <i x="203" s="1"/>
        <i x="306" s="1"/>
        <i x="205" s="1"/>
        <i x="197" s="1"/>
        <i x="260" s="1"/>
        <i x="57" s="1"/>
        <i x="449" s="1"/>
        <i x="240" s="1"/>
        <i x="98" s="1"/>
        <i x="129" s="1"/>
        <i x="179" s="1"/>
        <i x="198" s="1"/>
        <i x="250" s="1"/>
        <i x="353" s="1"/>
        <i x="45" s="1"/>
        <i x="186" s="1"/>
        <i x="352" s="1"/>
        <i x="440" s="1"/>
        <i x="132" s="1"/>
        <i x="130" s="1"/>
        <i x="401" s="1"/>
        <i x="77" s="1"/>
        <i x="89" s="1"/>
        <i x="272" s="1"/>
        <i x="74" s="1"/>
        <i x="115" s="1"/>
        <i x="249" s="1"/>
        <i x="48" s="1"/>
        <i x="466" s="1"/>
        <i x="157" s="1"/>
        <i x="513" s="1"/>
        <i x="329" s="1"/>
        <i x="29" s="1"/>
        <i x="207" s="1"/>
        <i x="99" s="1"/>
        <i x="496" s="1"/>
        <i x="148" s="1"/>
        <i x="126" s="1"/>
        <i x="229" s="1"/>
        <i x="21" s="1"/>
        <i x="112" s="1"/>
        <i x="225" s="1"/>
        <i x="247" s="1"/>
        <i x="138" s="1"/>
        <i x="87" s="1"/>
        <i x="501" s="1"/>
        <i x="432" s="1"/>
        <i x="95" s="1"/>
        <i x="254" s="1"/>
        <i x="502" s="1"/>
        <i x="114" s="1"/>
        <i x="24" s="1"/>
        <i x="127" s="1"/>
        <i x="423" s="1"/>
        <i x="298" s="1"/>
        <i x="338" s="1"/>
        <i x="25" s="1"/>
        <i x="280" s="1"/>
        <i x="328" s="1"/>
        <i x="244" s="1"/>
        <i x="164" s="1"/>
        <i x="195" s="1"/>
        <i x="223" s="1"/>
        <i x="375" s="1"/>
        <i x="438" s="1"/>
        <i x="259" s="1"/>
        <i x="508" s="1"/>
        <i x="131" s="1"/>
        <i x="243" s="1"/>
        <i x="420" s="1"/>
        <i x="31" s="1"/>
        <i x="102" s="1"/>
        <i x="422" s="1"/>
        <i x="330" s="1"/>
        <i x="104" s="1"/>
        <i x="305" s="1"/>
        <i x="196" s="1"/>
        <i x="354" s="1"/>
        <i x="96" s="1"/>
        <i x="415" s="1"/>
        <i x="166" s="1"/>
        <i x="41" s="1"/>
        <i x="439" s="1"/>
        <i x="144" s="1"/>
        <i x="426" s="1"/>
        <i x="262" s="1"/>
        <i x="303" s="1"/>
        <i x="271" s="1"/>
        <i x="204" s="1"/>
        <i x="355" s="1"/>
        <i x="171" s="1"/>
        <i x="189" s="1"/>
        <i x="255" s="1"/>
        <i x="97" s="1"/>
        <i x="185" s="1"/>
        <i x="152" s="1"/>
        <i x="377" s="1"/>
        <i x="142" s="1"/>
        <i x="512" s="1"/>
        <i x="128" s="1"/>
        <i x="208" s="1"/>
        <i x="13" s="1"/>
        <i x="72" s="1"/>
        <i x="66" s="1"/>
        <i x="133" s="1"/>
        <i x="235" s="1"/>
        <i x="194" s="1"/>
        <i x="163" s="1"/>
        <i x="436" s="1"/>
        <i x="350" s="1"/>
        <i x="199" s="1"/>
        <i x="158" s="1"/>
        <i x="261" s="1"/>
        <i x="318" s="1"/>
        <i x="500" s="1"/>
        <i x="51" s="1"/>
        <i x="174" s="1"/>
        <i x="286" s="1"/>
        <i x="111" s="1"/>
        <i x="465" s="1"/>
        <i x="470" s="1"/>
        <i x="476" s="1"/>
        <i x="307" s="1"/>
        <i x="309" s="1"/>
        <i x="155" s="1"/>
        <i x="175" s="1"/>
        <i x="39" s="1"/>
        <i x="209" s="1"/>
        <i x="64" s="1"/>
        <i x="334" s="1"/>
        <i x="310" s="1"/>
        <i x="288" s="1"/>
        <i x="351" s="1"/>
        <i x="180" s="1"/>
        <i x="150" s="1"/>
        <i x="201" s="1"/>
        <i x="202" s="1"/>
        <i x="193" s="1"/>
        <i x="227" s="1"/>
        <i x="52" s="1"/>
        <i x="391" s="1"/>
        <i x="237" s="1"/>
        <i x="362" s="1"/>
        <i x="136" s="1"/>
        <i x="192" s="1"/>
        <i x="295" s="1"/>
        <i x="116" s="1"/>
        <i x="312" s="1"/>
        <i x="160" s="1"/>
        <i x="219" s="1"/>
        <i x="396" s="1"/>
        <i x="36" s="1"/>
        <i x="251" s="1"/>
        <i x="315" s="1"/>
        <i x="217" s="1"/>
        <i x="26" s="1"/>
        <i x="378" s="1"/>
        <i x="392" s="1"/>
        <i x="167" s="1"/>
        <i x="94" s="1"/>
        <i x="222" s="1"/>
        <i x="452" s="1"/>
        <i x="300" s="1"/>
        <i x="270" s="1"/>
        <i x="433" s="1"/>
        <i x="367" s="1"/>
        <i x="278" s="1"/>
        <i x="357" s="1"/>
        <i x="172" s="1"/>
        <i x="200" s="1"/>
        <i x="361" s="1"/>
        <i x="507" s="1"/>
        <i x="497" s="1"/>
        <i x="493" s="1"/>
        <i x="156" s="1"/>
        <i x="230" s="1"/>
        <i x="443" s="1"/>
        <i x="213" s="1"/>
        <i x="162" s="1"/>
        <i x="480" s="1"/>
        <i x="410" s="1"/>
        <i x="446" s="1"/>
        <i x="35" s="1"/>
        <i x="402" s="1"/>
        <i x="242" s="1"/>
        <i x="405" s="1"/>
        <i x="304" s="1"/>
        <i x="434" s="1"/>
        <i x="218" s="1"/>
        <i x="348" s="1"/>
        <i x="256" s="1"/>
        <i x="323" s="1"/>
        <i x="458" s="1"/>
        <i x="370" s="1"/>
        <i x="425" s="1"/>
        <i x="326" s="1"/>
        <i x="514" s="1"/>
        <i x="372" s="1"/>
        <i x="34" s="1"/>
        <i x="453" s="1"/>
        <i x="170" s="1"/>
        <i x="491" s="1"/>
        <i x="313" s="1"/>
        <i x="365" s="1"/>
        <i x="492" s="1"/>
        <i x="468" s="1"/>
        <i x="414" s="1"/>
        <i x="451" s="1"/>
        <i x="472" s="1"/>
        <i x="413" s="1"/>
        <i x="101" s="1"/>
        <i x="324" s="1"/>
        <i x="486" s="1"/>
        <i x="105" s="1"/>
        <i x="416" s="1"/>
        <i x="347" s="1"/>
        <i x="393" s="1"/>
        <i x="47" s="1"/>
        <i x="485" s="1"/>
        <i x="346" s="1"/>
        <i x="7" s="1"/>
        <i x="337" s="1"/>
        <i x="154" s="1"/>
        <i x="411" s="1"/>
        <i x="257" s="1"/>
        <i x="80" s="1"/>
        <i x="314" s="1"/>
        <i x="459" s="1"/>
        <i x="389" s="1"/>
        <i x="445" s="1"/>
        <i x="119" s="1"/>
        <i x="14" s="1"/>
        <i x="469" s="1"/>
        <i x="285" s="1"/>
        <i x="417" s="1"/>
        <i x="161" s="1"/>
        <i x="467" s="1"/>
        <i x="371" s="1"/>
        <i x="356" s="1"/>
        <i x="369" s="1"/>
        <i x="53" s="1"/>
        <i x="121" s="1"/>
        <i x="153" s="1"/>
        <i x="49" s="1"/>
        <i x="68" s="1"/>
        <i x="495" s="1"/>
        <i x="382" s="1"/>
        <i x="424" s="1"/>
        <i x="84" s="1"/>
        <i x="412" s="1"/>
        <i x="374" s="1"/>
        <i x="73" s="1"/>
        <i x="503" s="1"/>
        <i x="292" s="1"/>
        <i x="81" s="1"/>
        <i x="380" s="1"/>
        <i x="364" s="1"/>
        <i x="67" s="1"/>
        <i x="83" s="1"/>
        <i x="450" s="1"/>
        <i x="56" s="1"/>
        <i x="428" s="1"/>
        <i x="17" s="1"/>
        <i x="406" s="1"/>
        <i x="429" s="1"/>
        <i x="183" s="1"/>
        <i x="444" s="1"/>
        <i x="343" s="1"/>
        <i x="20" s="1"/>
        <i x="86" s="1"/>
        <i x="15" s="1"/>
        <i x="379" s="1"/>
        <i x="437" s="1"/>
        <i x="277" s="1"/>
        <i x="234" s="1"/>
        <i x="28" s="1"/>
        <i x="282" s="1"/>
        <i x="263" s="1"/>
        <i x="211" s="1"/>
        <i x="169" s="1"/>
        <i x="463" s="1"/>
        <i x="301" s="1"/>
        <i x="510" s="1"/>
        <i x="50" s="1"/>
        <i x="149" s="1"/>
        <i x="266" s="1"/>
        <i x="248" s="1"/>
        <i x="478" s="1"/>
        <i x="409" s="1"/>
        <i x="55" s="1"/>
        <i x="267" s="1"/>
        <i x="504" s="1"/>
        <i x="141" s="1"/>
        <i x="340" s="1"/>
        <i x="384" s="1"/>
        <i x="376" s="1"/>
        <i x="65" s="1"/>
        <i x="232" s="1"/>
        <i x="134" s="1"/>
        <i x="146" s="1"/>
        <i x="109" s="1"/>
        <i x="264" s="1"/>
        <i x="182" s="1"/>
        <i x="239" s="1"/>
        <i x="71" s="1"/>
        <i x="265" s="1"/>
        <i x="435" s="1"/>
        <i x="143" s="1"/>
        <i x="90" s="1"/>
        <i x="106" s="1"/>
        <i x="91" s="1"/>
        <i x="325" s="1"/>
        <i x="455" s="1"/>
        <i x="226" s="1"/>
        <i x="320" s="1"/>
        <i x="145" s="1"/>
        <i x="165" s="1"/>
        <i x="79" s="1"/>
        <i x="269" s="1"/>
        <i x="383" s="1"/>
        <i x="332" s="1"/>
        <i x="43" s="1"/>
        <i x="62" s="1"/>
        <i x="489" s="1"/>
        <i x="177" s="1"/>
        <i x="184" s="1"/>
        <i x="61" s="1"/>
        <i x="279" s="1"/>
        <i x="151" s="1"/>
        <i x="214" s="1"/>
        <i x="82" s="1"/>
        <i x="187" s="1"/>
        <i x="487" s="1"/>
        <i x="103" s="1"/>
        <i x="331" s="1"/>
        <i x="322" s="1"/>
        <i x="140" s="1"/>
        <i x="220" s="1"/>
        <i x="168" s="1"/>
        <i x="293" s="1"/>
        <i x="335" s="1"/>
        <i x="147" s="1"/>
        <i x="139" s="1"/>
        <i x="100" s="1"/>
        <i x="490" s="1"/>
        <i x="349" s="1"/>
        <i x="123" s="1"/>
        <i x="336" s="1"/>
        <i x="88" s="1"/>
        <i x="431" s="1"/>
        <i x="120" s="1"/>
        <i x="407" s="1"/>
        <i x="122" s="1"/>
        <i x="442" s="1"/>
        <i x="475" s="1"/>
        <i x="366" s="1"/>
        <i x="228" s="1"/>
        <i x="221" s="1"/>
        <i x="363" s="1"/>
        <i x="273" s="1"/>
        <i x="117" s="1"/>
        <i x="358" s="1"/>
        <i x="178" s="1"/>
        <i x="216" s="1"/>
        <i x="246" s="1"/>
        <i x="181" s="1"/>
        <i x="281" s="1"/>
        <i x="427" s="1"/>
        <i x="341" s="1"/>
        <i x="388" s="1"/>
        <i x="360" s="1"/>
        <i x="454" s="1"/>
        <i x="471" s="1"/>
        <i x="224" s="1"/>
        <i x="107" s="1"/>
        <i x="191" s="1"/>
        <i x="215" s="1"/>
        <i x="287" s="1"/>
        <i x="408" s="1"/>
        <i x="387" s="1"/>
        <i x="386" s="1"/>
        <i x="483" s="1"/>
        <i x="245" s="1"/>
        <i x="241" s="1"/>
        <i x="294" s="1"/>
        <i x="291" s="1"/>
        <i x="404" s="1"/>
        <i x="418" s="1"/>
        <i x="457" s="1"/>
        <i x="297" s="1"/>
        <i x="394" s="1"/>
        <i x="319" s="1"/>
        <i x="210" s="1"/>
        <i x="381" s="1"/>
        <i x="188" s="1"/>
        <i x="190" s="1"/>
        <i x="421" s="1"/>
        <i x="373" s="1"/>
        <i x="506" s="1"/>
        <i x="212" s="1"/>
        <i x="108" s="1"/>
        <i x="398" s="1"/>
        <i x="460" s="1"/>
        <i x="484" s="1"/>
        <i x="400" s="1"/>
        <i x="299" s="1"/>
        <i x="268" s="1"/>
        <i x="488" s="1"/>
        <i x="276" s="1"/>
        <i x="509" s="1"/>
        <i x="473" s="1"/>
        <i x="231" s="1"/>
        <i x="403" s="1"/>
        <i x="462" s="1"/>
        <i x="252" s="1"/>
        <i x="258" s="1"/>
        <i x="482" s="1"/>
        <i x="456" s="1"/>
        <i x="390" s="1"/>
        <i x="302" s="1"/>
        <i x="342" s="1"/>
        <i x="397" s="1"/>
        <i x="333" s="1"/>
        <i x="283" s="1"/>
        <i x="233" s="1"/>
        <i x="296" s="1"/>
        <i x="284" s="1"/>
        <i x="399" s="1"/>
        <i x="344" s="1"/>
        <i x="321" s="1"/>
        <i x="368" s="1"/>
        <i x="419" s="1"/>
        <i x="345" s="1"/>
        <i x="359" s="1"/>
        <i x="474" s="1"/>
        <i x="339" s="1"/>
        <i x="441" s="1"/>
        <i x="290" s="1"/>
        <i x="275" s="1"/>
        <i x="477" s="1"/>
        <i x="498" s="1"/>
        <i x="479" s="1"/>
        <i x="481" s="1"/>
        <i x="461" s="1"/>
        <i x="511" s="1"/>
        <i x="499" s="1"/>
        <i x="505" s="1"/>
        <i x="430" s="1"/>
        <i x="395" s="1"/>
        <i x="49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F067D1-1CB4-45F8-8EA6-12C7A477F78B}" sourceName="Country">
  <pivotTables>
    <pivotTable tabId="3" name="PivotTable3"/>
  </pivotTables>
  <data>
    <tabular pivotCacheId="2083355237">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Price" xr10:uid="{932EAE31-8690-469A-B3F8-DE5038E2489F}" cache="Slicer_Sale_Price" caption="Sale Price" rowHeight="234950"/>
  <slicer name="Discounts" xr10:uid="{6BE4BB2D-9BA1-464C-9924-681B94F8AABA}" cache="Slicer_Discounts" caption="Discount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BD74923-4F4A-489E-BF8F-2CCAD182401B}" cache="Slicer_Country" caption="Count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7B9C-6CE2-4DF6-985E-7E00385D75EF}">
  <dimension ref="A3:B10"/>
  <sheetViews>
    <sheetView topLeftCell="D1" workbookViewId="0">
      <selection activeCell="G3" sqref="G3"/>
    </sheetView>
  </sheetViews>
  <sheetFormatPr defaultRowHeight="14.4" x14ac:dyDescent="0.3"/>
  <cols>
    <col min="1" max="1" width="12.5546875" bestFit="1" customWidth="1"/>
    <col min="2" max="2" width="16.6640625" bestFit="1" customWidth="1"/>
    <col min="3" max="3" width="10.77734375" bestFit="1" customWidth="1"/>
    <col min="4" max="4" width="20.77734375" bestFit="1" customWidth="1"/>
    <col min="5" max="6" width="20.33203125" bestFit="1" customWidth="1"/>
    <col min="7" max="7" width="16.88671875" bestFit="1" customWidth="1"/>
  </cols>
  <sheetData>
    <row r="3" spans="1:2" x14ac:dyDescent="0.3">
      <c r="A3" s="23" t="s">
        <v>37</v>
      </c>
      <c r="B3" t="s">
        <v>40</v>
      </c>
    </row>
    <row r="4" spans="1:2" x14ac:dyDescent="0.3">
      <c r="A4" s="24">
        <v>3</v>
      </c>
      <c r="B4" s="21">
        <v>11988503</v>
      </c>
    </row>
    <row r="5" spans="1:2" x14ac:dyDescent="0.3">
      <c r="A5" s="24">
        <v>5</v>
      </c>
      <c r="B5" s="21">
        <v>13276047</v>
      </c>
    </row>
    <row r="6" spans="1:2" x14ac:dyDescent="0.3">
      <c r="A6" s="24">
        <v>10</v>
      </c>
      <c r="B6" s="21">
        <v>28213706</v>
      </c>
    </row>
    <row r="7" spans="1:2" x14ac:dyDescent="0.3">
      <c r="A7" s="24">
        <v>120</v>
      </c>
      <c r="B7" s="21">
        <v>15944067</v>
      </c>
    </row>
    <row r="8" spans="1:2" x14ac:dyDescent="0.3">
      <c r="A8" s="24">
        <v>250</v>
      </c>
      <c r="B8" s="21">
        <v>17477313</v>
      </c>
    </row>
    <row r="9" spans="1:2" x14ac:dyDescent="0.3">
      <c r="A9" s="24">
        <v>260</v>
      </c>
      <c r="B9" s="21">
        <v>14933012</v>
      </c>
    </row>
    <row r="10" spans="1:2" x14ac:dyDescent="0.3">
      <c r="A10" s="24" t="s">
        <v>38</v>
      </c>
      <c r="B10" s="21">
        <v>101832648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F9C5-9AEE-4E82-ACA6-BC746AC8143A}">
  <dimension ref="A3:H10"/>
  <sheetViews>
    <sheetView topLeftCell="G1" workbookViewId="0">
      <selection activeCell="G15" sqref="G15"/>
    </sheetView>
  </sheetViews>
  <sheetFormatPr defaultRowHeight="14.4" x14ac:dyDescent="0.3"/>
  <cols>
    <col min="1" max="1" width="21.5546875" bestFit="1" customWidth="1"/>
    <col min="2" max="2" width="15.5546875" bestFit="1" customWidth="1"/>
    <col min="3" max="4" width="8.77734375" bestFit="1" customWidth="1"/>
    <col min="5" max="6" width="9" bestFit="1" customWidth="1"/>
    <col min="7" max="7" width="8" bestFit="1" customWidth="1"/>
    <col min="8" max="8" width="10.77734375" bestFit="1" customWidth="1"/>
    <col min="9" max="9" width="16" bestFit="1" customWidth="1"/>
    <col min="10" max="10" width="15.5546875" bestFit="1" customWidth="1"/>
    <col min="11" max="11" width="16" bestFit="1" customWidth="1"/>
    <col min="12" max="12" width="15.5546875" bestFit="1" customWidth="1"/>
    <col min="13" max="13" width="16" bestFit="1" customWidth="1"/>
    <col min="14" max="14" width="20.33203125" bestFit="1" customWidth="1"/>
    <col min="15" max="15" width="20.77734375" bestFit="1" customWidth="1"/>
  </cols>
  <sheetData>
    <row r="3" spans="1:8" x14ac:dyDescent="0.3">
      <c r="A3" s="23" t="s">
        <v>36</v>
      </c>
      <c r="B3" s="23" t="s">
        <v>39</v>
      </c>
    </row>
    <row r="4" spans="1:8" x14ac:dyDescent="0.3">
      <c r="A4" s="23" t="s">
        <v>37</v>
      </c>
      <c r="B4" t="s">
        <v>32</v>
      </c>
      <c r="C4" t="s">
        <v>18</v>
      </c>
      <c r="D4" t="s">
        <v>24</v>
      </c>
      <c r="E4" t="s">
        <v>29</v>
      </c>
      <c r="F4" t="s">
        <v>30</v>
      </c>
      <c r="G4" t="s">
        <v>31</v>
      </c>
      <c r="H4" t="s">
        <v>38</v>
      </c>
    </row>
    <row r="5" spans="1:8" x14ac:dyDescent="0.3">
      <c r="A5" s="25" t="s">
        <v>17</v>
      </c>
      <c r="B5" s="22">
        <v>29232</v>
      </c>
      <c r="C5" s="22">
        <v>34804</v>
      </c>
      <c r="D5" s="22">
        <v>31488.5</v>
      </c>
      <c r="E5" s="22">
        <v>78191.5</v>
      </c>
      <c r="F5" s="22">
        <v>32464</v>
      </c>
      <c r="G5" s="22">
        <v>41248.5</v>
      </c>
      <c r="H5" s="22">
        <v>247428.5</v>
      </c>
    </row>
    <row r="6" spans="1:8" x14ac:dyDescent="0.3">
      <c r="A6" s="25" t="s">
        <v>22</v>
      </c>
      <c r="B6" s="22">
        <v>31603</v>
      </c>
      <c r="C6" s="22">
        <v>34056</v>
      </c>
      <c r="D6" s="22">
        <v>31282</v>
      </c>
      <c r="E6" s="22">
        <v>71606</v>
      </c>
      <c r="F6" s="22">
        <v>36609.5</v>
      </c>
      <c r="G6" s="22">
        <v>35774.5</v>
      </c>
      <c r="H6" s="22">
        <v>240931</v>
      </c>
    </row>
    <row r="7" spans="1:8" x14ac:dyDescent="0.3">
      <c r="A7" s="25" t="s">
        <v>20</v>
      </c>
      <c r="B7" s="22">
        <v>30614.5</v>
      </c>
      <c r="C7" s="22">
        <v>24944</v>
      </c>
      <c r="D7" s="22">
        <v>28061</v>
      </c>
      <c r="E7" s="22">
        <v>55693.5</v>
      </c>
      <c r="F7" s="22">
        <v>31050</v>
      </c>
      <c r="G7" s="22">
        <v>31131</v>
      </c>
      <c r="H7" s="22">
        <v>201494</v>
      </c>
    </row>
    <row r="8" spans="1:8" x14ac:dyDescent="0.3">
      <c r="A8" s="25" t="s">
        <v>23</v>
      </c>
      <c r="B8" s="22">
        <v>28396</v>
      </c>
      <c r="C8" s="22">
        <v>27224</v>
      </c>
      <c r="D8" s="22">
        <v>31754</v>
      </c>
      <c r="E8" s="22">
        <v>63282</v>
      </c>
      <c r="F8" s="22">
        <v>26540</v>
      </c>
      <c r="G8" s="22">
        <v>26129</v>
      </c>
      <c r="H8" s="22">
        <v>203325</v>
      </c>
    </row>
    <row r="9" spans="1:8" x14ac:dyDescent="0.3">
      <c r="A9" s="25" t="s">
        <v>28</v>
      </c>
      <c r="B9" s="22">
        <v>35469.5</v>
      </c>
      <c r="C9" s="22">
        <v>25818</v>
      </c>
      <c r="D9" s="22">
        <v>31612.5</v>
      </c>
      <c r="E9" s="22">
        <v>69466.5</v>
      </c>
      <c r="F9" s="22">
        <v>35761</v>
      </c>
      <c r="G9" s="22">
        <v>34500</v>
      </c>
      <c r="H9" s="22">
        <v>232627.5</v>
      </c>
    </row>
    <row r="10" spans="1:8" x14ac:dyDescent="0.3">
      <c r="A10" s="25" t="s">
        <v>38</v>
      </c>
      <c r="B10" s="22">
        <v>155315</v>
      </c>
      <c r="C10" s="22">
        <v>146846</v>
      </c>
      <c r="D10" s="22">
        <v>154198</v>
      </c>
      <c r="E10" s="22">
        <v>338239.5</v>
      </c>
      <c r="F10" s="22">
        <v>162424.5</v>
      </c>
      <c r="G10" s="22">
        <v>168783</v>
      </c>
      <c r="H10" s="22">
        <v>1125806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48D5-D14C-4F76-BA99-9C3250AE290D}">
  <dimension ref="A3:C10"/>
  <sheetViews>
    <sheetView topLeftCell="G1" workbookViewId="0">
      <selection activeCell="N24" sqref="N24"/>
    </sheetView>
  </sheetViews>
  <sheetFormatPr defaultRowHeight="14.4" x14ac:dyDescent="0.3"/>
  <cols>
    <col min="1" max="1" width="12.5546875" bestFit="1" customWidth="1"/>
    <col min="2" max="2" width="16.6640625" bestFit="1" customWidth="1"/>
    <col min="3" max="3" width="15.6640625" bestFit="1" customWidth="1"/>
    <col min="4" max="510" width="15.5546875" bestFit="1" customWidth="1"/>
    <col min="511" max="511" width="10.77734375" bestFit="1" customWidth="1"/>
    <col min="512" max="512" width="15.6640625" bestFit="1" customWidth="1"/>
  </cols>
  <sheetData>
    <row r="3" spans="1:3" x14ac:dyDescent="0.3">
      <c r="A3" s="23" t="s">
        <v>37</v>
      </c>
      <c r="B3" t="s">
        <v>42</v>
      </c>
      <c r="C3" t="s">
        <v>41</v>
      </c>
    </row>
    <row r="4" spans="1:3" x14ac:dyDescent="0.3">
      <c r="A4" s="25" t="s">
        <v>32</v>
      </c>
      <c r="B4" s="21">
        <v>17241495.5</v>
      </c>
      <c r="C4" s="21">
        <v>2308483.4999999995</v>
      </c>
    </row>
    <row r="5" spans="1:3" x14ac:dyDescent="0.3">
      <c r="A5" s="25" t="s">
        <v>18</v>
      </c>
      <c r="B5" s="21">
        <v>13427878.524999999</v>
      </c>
      <c r="C5" s="21">
        <v>1439375.5250000004</v>
      </c>
    </row>
    <row r="6" spans="1:3" x14ac:dyDescent="0.3">
      <c r="A6" s="25" t="s">
        <v>24</v>
      </c>
      <c r="B6" s="21">
        <v>14972323.75</v>
      </c>
      <c r="C6" s="21">
        <v>1696276.7500000005</v>
      </c>
    </row>
    <row r="7" spans="1:3" x14ac:dyDescent="0.3">
      <c r="A7" s="25" t="s">
        <v>29</v>
      </c>
      <c r="B7" s="21">
        <v>32190299.5</v>
      </c>
      <c r="C7" s="21">
        <v>3976593.5000000014</v>
      </c>
    </row>
    <row r="8" spans="1:3" x14ac:dyDescent="0.3">
      <c r="A8" s="25" t="s">
        <v>30</v>
      </c>
      <c r="B8" s="21">
        <v>17767917.175000001</v>
      </c>
      <c r="C8" s="21">
        <v>1823850.1750000003</v>
      </c>
    </row>
    <row r="9" spans="1:3" x14ac:dyDescent="0.3">
      <c r="A9" s="25" t="s">
        <v>31</v>
      </c>
      <c r="B9" s="21">
        <v>19974186.675000004</v>
      </c>
      <c r="C9" s="21">
        <v>2496873.6750000003</v>
      </c>
    </row>
    <row r="10" spans="1:3" x14ac:dyDescent="0.3">
      <c r="A10" s="25" t="s">
        <v>38</v>
      </c>
      <c r="B10" s="21">
        <v>115574101.125</v>
      </c>
      <c r="C10" s="21">
        <v>13741453.125000004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359F4-197C-420C-AC9D-24AA810FF6B3}">
  <dimension ref="A3:B515"/>
  <sheetViews>
    <sheetView tabSelected="1" workbookViewId="0">
      <selection activeCell="L24" sqref="L24"/>
    </sheetView>
  </sheetViews>
  <sheetFormatPr defaultRowHeight="14.4" x14ac:dyDescent="0.3"/>
  <cols>
    <col min="1" max="1" width="12.5546875" bestFit="1" customWidth="1"/>
    <col min="2" max="2" width="15.6640625" bestFit="1" customWidth="1"/>
  </cols>
  <sheetData>
    <row r="3" spans="1:2" x14ac:dyDescent="0.3">
      <c r="A3" s="23" t="s">
        <v>37</v>
      </c>
      <c r="B3" t="s">
        <v>41</v>
      </c>
    </row>
    <row r="4" spans="1:2" x14ac:dyDescent="0.3">
      <c r="A4" s="24">
        <v>0</v>
      </c>
      <c r="B4" s="21">
        <v>1736455</v>
      </c>
    </row>
    <row r="5" spans="1:2" x14ac:dyDescent="0.3">
      <c r="A5" s="24">
        <v>92.050000000000011</v>
      </c>
      <c r="B5" s="21">
        <v>433.95000000000005</v>
      </c>
    </row>
    <row r="6" spans="1:2" x14ac:dyDescent="0.3">
      <c r="A6" s="24">
        <v>126.7</v>
      </c>
      <c r="B6" s="21">
        <v>597.30000000000018</v>
      </c>
    </row>
    <row r="7" spans="1:2" x14ac:dyDescent="0.3">
      <c r="A7" s="24">
        <v>163.5</v>
      </c>
      <c r="B7" s="21">
        <v>926.5</v>
      </c>
    </row>
    <row r="8" spans="1:2" x14ac:dyDescent="0.3">
      <c r="A8" s="24">
        <v>179.9</v>
      </c>
      <c r="B8" s="21">
        <v>334.09999999999991</v>
      </c>
    </row>
    <row r="9" spans="1:2" x14ac:dyDescent="0.3">
      <c r="A9" s="24">
        <v>184.10000000000002</v>
      </c>
      <c r="B9" s="21">
        <v>341.90000000000009</v>
      </c>
    </row>
    <row r="10" spans="1:2" x14ac:dyDescent="0.3">
      <c r="A10" s="24">
        <v>190.4</v>
      </c>
      <c r="B10" s="21">
        <v>897.59999999999991</v>
      </c>
    </row>
    <row r="11" spans="1:2" x14ac:dyDescent="0.3">
      <c r="A11" s="24">
        <v>223.65</v>
      </c>
      <c r="B11" s="21">
        <v>1054.3500000000004</v>
      </c>
    </row>
    <row r="12" spans="1:2" x14ac:dyDescent="0.3">
      <c r="A12" s="24">
        <v>240.75</v>
      </c>
      <c r="B12" s="21">
        <v>1364.25</v>
      </c>
    </row>
    <row r="13" spans="1:2" x14ac:dyDescent="0.3">
      <c r="A13" s="24">
        <v>252</v>
      </c>
      <c r="B13" s="21">
        <v>936</v>
      </c>
    </row>
    <row r="14" spans="1:2" x14ac:dyDescent="0.3">
      <c r="A14" s="24">
        <v>294</v>
      </c>
      <c r="B14" s="21">
        <v>532</v>
      </c>
    </row>
    <row r="15" spans="1:2" x14ac:dyDescent="0.3">
      <c r="A15" s="24">
        <v>307.64999999999998</v>
      </c>
      <c r="B15" s="21">
        <v>278.34999999999991</v>
      </c>
    </row>
    <row r="16" spans="1:2" x14ac:dyDescent="0.3">
      <c r="A16" s="24">
        <v>341.6</v>
      </c>
      <c r="B16" s="21">
        <v>634.40000000000009</v>
      </c>
    </row>
    <row r="17" spans="1:2" x14ac:dyDescent="0.3">
      <c r="A17" s="24">
        <v>360.5</v>
      </c>
      <c r="B17" s="21">
        <v>1699.5</v>
      </c>
    </row>
    <row r="18" spans="1:2" x14ac:dyDescent="0.3">
      <c r="A18" s="24">
        <v>364.70000000000005</v>
      </c>
      <c r="B18" s="21">
        <v>1354.6000000000004</v>
      </c>
    </row>
    <row r="19" spans="1:2" x14ac:dyDescent="0.3">
      <c r="A19" s="24">
        <v>367.20000000000005</v>
      </c>
      <c r="B19" s="21">
        <v>2386.8000000000002</v>
      </c>
    </row>
    <row r="20" spans="1:2" x14ac:dyDescent="0.3">
      <c r="A20" s="24">
        <v>367.5</v>
      </c>
      <c r="B20" s="21">
        <v>857.5</v>
      </c>
    </row>
    <row r="21" spans="1:2" x14ac:dyDescent="0.3">
      <c r="A21" s="24">
        <v>382.90000000000003</v>
      </c>
      <c r="B21" s="21">
        <v>711.09999999999991</v>
      </c>
    </row>
    <row r="22" spans="1:2" x14ac:dyDescent="0.3">
      <c r="A22" s="24">
        <v>399</v>
      </c>
      <c r="B22" s="21">
        <v>1843</v>
      </c>
    </row>
    <row r="23" spans="1:2" x14ac:dyDescent="0.3">
      <c r="A23" s="24">
        <v>407.4</v>
      </c>
      <c r="B23" s="21">
        <v>368.59999999999991</v>
      </c>
    </row>
    <row r="24" spans="1:2" x14ac:dyDescent="0.3">
      <c r="A24" s="24">
        <v>414</v>
      </c>
      <c r="B24" s="21">
        <v>5796</v>
      </c>
    </row>
    <row r="25" spans="1:2" x14ac:dyDescent="0.3">
      <c r="A25" s="24">
        <v>440.40000000000003</v>
      </c>
      <c r="B25" s="21">
        <v>5725.2</v>
      </c>
    </row>
    <row r="26" spans="1:2" x14ac:dyDescent="0.3">
      <c r="A26" s="24">
        <v>459.6</v>
      </c>
      <c r="B26" s="21">
        <v>12868.8</v>
      </c>
    </row>
    <row r="27" spans="1:2" x14ac:dyDescent="0.3">
      <c r="A27" s="24">
        <v>464.1</v>
      </c>
      <c r="B27" s="21">
        <v>2187.8999999999996</v>
      </c>
    </row>
    <row r="28" spans="1:2" x14ac:dyDescent="0.3">
      <c r="A28" s="24">
        <v>474.6</v>
      </c>
      <c r="B28" s="21">
        <v>881.39999999999964</v>
      </c>
    </row>
    <row r="29" spans="1:2" x14ac:dyDescent="0.3">
      <c r="A29" s="24">
        <v>503.25</v>
      </c>
      <c r="B29" s="21">
        <v>5703.5</v>
      </c>
    </row>
    <row r="30" spans="1:2" x14ac:dyDescent="0.3">
      <c r="A30" s="24">
        <v>519.6</v>
      </c>
      <c r="B30" s="21">
        <v>7274.4</v>
      </c>
    </row>
    <row r="31" spans="1:2" x14ac:dyDescent="0.3">
      <c r="A31" s="24">
        <v>544</v>
      </c>
      <c r="B31" s="21">
        <v>4896</v>
      </c>
    </row>
    <row r="32" spans="1:2" x14ac:dyDescent="0.3">
      <c r="A32" s="24">
        <v>544.80000000000007</v>
      </c>
      <c r="B32" s="21">
        <v>7627.2000000000007</v>
      </c>
    </row>
    <row r="33" spans="1:2" x14ac:dyDescent="0.3">
      <c r="A33" s="24">
        <v>560.25</v>
      </c>
      <c r="B33" s="21">
        <v>3174.75</v>
      </c>
    </row>
    <row r="34" spans="1:2" x14ac:dyDescent="0.3">
      <c r="A34" s="24">
        <v>573.30000000000007</v>
      </c>
      <c r="B34" s="21">
        <v>1064.6999999999998</v>
      </c>
    </row>
    <row r="35" spans="1:2" x14ac:dyDescent="0.3">
      <c r="A35" s="24">
        <v>616</v>
      </c>
      <c r="B35" s="21">
        <v>2904</v>
      </c>
    </row>
    <row r="36" spans="1:2" x14ac:dyDescent="0.3">
      <c r="A36" s="24">
        <v>625.5</v>
      </c>
      <c r="B36" s="21">
        <v>764.5</v>
      </c>
    </row>
    <row r="37" spans="1:2" x14ac:dyDescent="0.3">
      <c r="A37" s="24">
        <v>633</v>
      </c>
      <c r="B37" s="21">
        <v>17724</v>
      </c>
    </row>
    <row r="38" spans="1:2" x14ac:dyDescent="0.3">
      <c r="A38" s="24">
        <v>640.5</v>
      </c>
      <c r="B38" s="21">
        <v>3019.5</v>
      </c>
    </row>
    <row r="39" spans="1:2" x14ac:dyDescent="0.3">
      <c r="A39" s="24">
        <v>650.40000000000009</v>
      </c>
      <c r="B39" s="21">
        <v>18211.2</v>
      </c>
    </row>
    <row r="40" spans="1:2" x14ac:dyDescent="0.3">
      <c r="A40" s="24">
        <v>674.40000000000009</v>
      </c>
      <c r="B40" s="21">
        <v>4383.6000000000004</v>
      </c>
    </row>
    <row r="41" spans="1:2" x14ac:dyDescent="0.3">
      <c r="A41" s="24">
        <v>685.2</v>
      </c>
      <c r="B41" s="21">
        <v>19185.599999999999</v>
      </c>
    </row>
    <row r="42" spans="1:2" x14ac:dyDescent="0.3">
      <c r="A42" s="24">
        <v>685.30000000000007</v>
      </c>
      <c r="B42" s="21">
        <v>3230.7000000000007</v>
      </c>
    </row>
    <row r="43" spans="1:2" x14ac:dyDescent="0.3">
      <c r="A43" s="24">
        <v>694.8</v>
      </c>
      <c r="B43" s="21">
        <v>5558.4</v>
      </c>
    </row>
    <row r="44" spans="1:2" x14ac:dyDescent="0.3">
      <c r="A44" s="24">
        <v>704.55000000000007</v>
      </c>
      <c r="B44" s="21">
        <v>3321.4500000000007</v>
      </c>
    </row>
    <row r="45" spans="1:2" x14ac:dyDescent="0.3">
      <c r="A45" s="24">
        <v>711.2</v>
      </c>
      <c r="B45" s="21">
        <v>1320.8000000000002</v>
      </c>
    </row>
    <row r="46" spans="1:2" x14ac:dyDescent="0.3">
      <c r="A46" s="24">
        <v>717.6</v>
      </c>
      <c r="B46" s="21">
        <v>4664.3999999999996</v>
      </c>
    </row>
    <row r="47" spans="1:2" x14ac:dyDescent="0.3">
      <c r="A47" s="24">
        <v>721.7</v>
      </c>
      <c r="B47" s="21">
        <v>1340.3000000000002</v>
      </c>
    </row>
    <row r="48" spans="1:2" x14ac:dyDescent="0.3">
      <c r="A48" s="24">
        <v>723</v>
      </c>
      <c r="B48" s="21">
        <v>3374</v>
      </c>
    </row>
    <row r="49" spans="1:2" x14ac:dyDescent="0.3">
      <c r="A49" s="24">
        <v>732.2</v>
      </c>
      <c r="B49" s="21">
        <v>3451.7999999999993</v>
      </c>
    </row>
    <row r="50" spans="1:2" x14ac:dyDescent="0.3">
      <c r="A50" s="24">
        <v>735</v>
      </c>
      <c r="B50" s="21">
        <v>1715</v>
      </c>
    </row>
    <row r="51" spans="1:2" x14ac:dyDescent="0.3">
      <c r="A51" s="24">
        <v>736</v>
      </c>
      <c r="B51" s="21">
        <v>6624</v>
      </c>
    </row>
    <row r="52" spans="1:2" x14ac:dyDescent="0.3">
      <c r="A52" s="24">
        <v>738</v>
      </c>
      <c r="B52" s="21">
        <v>5904</v>
      </c>
    </row>
    <row r="53" spans="1:2" x14ac:dyDescent="0.3">
      <c r="A53" s="24">
        <v>750.75</v>
      </c>
      <c r="B53" s="21">
        <v>3539.25</v>
      </c>
    </row>
    <row r="54" spans="1:2" x14ac:dyDescent="0.3">
      <c r="A54" s="24">
        <v>759.15</v>
      </c>
      <c r="B54" s="21">
        <v>686.85000000000036</v>
      </c>
    </row>
    <row r="55" spans="1:2" x14ac:dyDescent="0.3">
      <c r="A55" s="24">
        <v>766.5</v>
      </c>
      <c r="B55" s="21">
        <v>1423.5</v>
      </c>
    </row>
    <row r="56" spans="1:2" x14ac:dyDescent="0.3">
      <c r="A56" s="24">
        <v>777</v>
      </c>
      <c r="B56" s="21">
        <v>21756</v>
      </c>
    </row>
    <row r="57" spans="1:2" x14ac:dyDescent="0.3">
      <c r="A57" s="24">
        <v>780</v>
      </c>
      <c r="B57" s="21">
        <v>1820</v>
      </c>
    </row>
    <row r="58" spans="1:2" x14ac:dyDescent="0.3">
      <c r="A58" s="24">
        <v>794.5</v>
      </c>
      <c r="B58" s="21">
        <v>2951</v>
      </c>
    </row>
    <row r="59" spans="1:2" x14ac:dyDescent="0.3">
      <c r="A59" s="24">
        <v>801</v>
      </c>
      <c r="B59" s="21">
        <v>3738</v>
      </c>
    </row>
    <row r="60" spans="1:2" x14ac:dyDescent="0.3">
      <c r="A60" s="24">
        <v>811.30000000000007</v>
      </c>
      <c r="B60" s="21">
        <v>3013.3999999999996</v>
      </c>
    </row>
    <row r="61" spans="1:2" x14ac:dyDescent="0.3">
      <c r="A61" s="24">
        <v>821.7</v>
      </c>
      <c r="B61" s="21">
        <v>11503.8</v>
      </c>
    </row>
    <row r="62" spans="1:2" x14ac:dyDescent="0.3">
      <c r="A62" s="24">
        <v>831</v>
      </c>
      <c r="B62" s="21">
        <v>7479</v>
      </c>
    </row>
    <row r="63" spans="1:2" x14ac:dyDescent="0.3">
      <c r="A63" s="24">
        <v>832.5</v>
      </c>
      <c r="B63" s="21">
        <v>1942.5</v>
      </c>
    </row>
    <row r="64" spans="1:2" x14ac:dyDescent="0.3">
      <c r="A64" s="24">
        <v>849.6</v>
      </c>
      <c r="B64" s="21">
        <v>6796.7999999999993</v>
      </c>
    </row>
    <row r="65" spans="1:2" x14ac:dyDescent="0.3">
      <c r="A65" s="24">
        <v>855</v>
      </c>
      <c r="B65" s="21">
        <v>1045</v>
      </c>
    </row>
    <row r="66" spans="1:2" x14ac:dyDescent="0.3">
      <c r="A66" s="24">
        <v>864</v>
      </c>
      <c r="B66" s="21">
        <v>1056</v>
      </c>
    </row>
    <row r="67" spans="1:2" x14ac:dyDescent="0.3">
      <c r="A67" s="24">
        <v>867</v>
      </c>
      <c r="B67" s="21">
        <v>12138</v>
      </c>
    </row>
    <row r="68" spans="1:2" x14ac:dyDescent="0.3">
      <c r="A68" s="24">
        <v>872.40000000000009</v>
      </c>
      <c r="B68" s="21">
        <v>5670.6</v>
      </c>
    </row>
    <row r="69" spans="1:2" x14ac:dyDescent="0.3">
      <c r="A69" s="24">
        <v>873</v>
      </c>
      <c r="B69" s="21">
        <v>3492</v>
      </c>
    </row>
    <row r="70" spans="1:2" x14ac:dyDescent="0.3">
      <c r="A70" s="24">
        <v>879</v>
      </c>
      <c r="B70" s="21">
        <v>16408</v>
      </c>
    </row>
    <row r="71" spans="1:2" x14ac:dyDescent="0.3">
      <c r="A71" s="24">
        <v>881.30000000000007</v>
      </c>
      <c r="B71" s="21">
        <v>1636.6999999999998</v>
      </c>
    </row>
    <row r="72" spans="1:2" x14ac:dyDescent="0.3">
      <c r="A72" s="24">
        <v>885.15000000000009</v>
      </c>
      <c r="B72" s="21">
        <v>4172.8499999999985</v>
      </c>
    </row>
    <row r="73" spans="1:2" x14ac:dyDescent="0.3">
      <c r="A73" s="24">
        <v>900</v>
      </c>
      <c r="B73" s="21">
        <v>3600</v>
      </c>
    </row>
    <row r="74" spans="1:2" x14ac:dyDescent="0.3">
      <c r="A74" s="24">
        <v>933.1</v>
      </c>
      <c r="B74" s="21">
        <v>1732.8999999999996</v>
      </c>
    </row>
    <row r="75" spans="1:2" x14ac:dyDescent="0.3">
      <c r="A75" s="24">
        <v>941</v>
      </c>
      <c r="B75" s="21">
        <v>8469</v>
      </c>
    </row>
    <row r="76" spans="1:2" x14ac:dyDescent="0.3">
      <c r="A76" s="24">
        <v>960.40000000000009</v>
      </c>
      <c r="B76" s="21">
        <v>1783.6000000000004</v>
      </c>
    </row>
    <row r="77" spans="1:2" x14ac:dyDescent="0.3">
      <c r="A77" s="24">
        <v>982.1</v>
      </c>
      <c r="B77" s="21">
        <v>3647.7999999999993</v>
      </c>
    </row>
    <row r="78" spans="1:2" x14ac:dyDescent="0.3">
      <c r="A78" s="24">
        <v>997.85</v>
      </c>
      <c r="B78" s="21">
        <v>9408.3000000000029</v>
      </c>
    </row>
    <row r="79" spans="1:2" x14ac:dyDescent="0.3">
      <c r="A79" s="24">
        <v>1027.8</v>
      </c>
      <c r="B79" s="21">
        <v>4111.2</v>
      </c>
    </row>
    <row r="80" spans="1:2" x14ac:dyDescent="0.3">
      <c r="A80" s="24">
        <v>1048.6000000000001</v>
      </c>
      <c r="B80" s="21">
        <v>3894.7999999999993</v>
      </c>
    </row>
    <row r="81" spans="1:2" x14ac:dyDescent="0.3">
      <c r="A81" s="24">
        <v>1056</v>
      </c>
      <c r="B81" s="21">
        <v>16368</v>
      </c>
    </row>
    <row r="82" spans="1:2" x14ac:dyDescent="0.3">
      <c r="A82" s="24">
        <v>1066.5</v>
      </c>
      <c r="B82" s="21">
        <v>4977</v>
      </c>
    </row>
    <row r="83" spans="1:2" x14ac:dyDescent="0.3">
      <c r="A83" s="24">
        <v>1071</v>
      </c>
      <c r="B83" s="21">
        <v>14994</v>
      </c>
    </row>
    <row r="84" spans="1:2" x14ac:dyDescent="0.3">
      <c r="A84" s="24">
        <v>1087.2</v>
      </c>
      <c r="B84" s="21">
        <v>8697.6</v>
      </c>
    </row>
    <row r="85" spans="1:2" x14ac:dyDescent="0.3">
      <c r="A85" s="24">
        <v>1107</v>
      </c>
      <c r="B85" s="21">
        <v>1353</v>
      </c>
    </row>
    <row r="86" spans="1:2" x14ac:dyDescent="0.3">
      <c r="A86" s="24">
        <v>1107.4000000000001</v>
      </c>
      <c r="B86" s="21">
        <v>4113.2000000000007</v>
      </c>
    </row>
    <row r="87" spans="1:2" x14ac:dyDescent="0.3">
      <c r="A87" s="24">
        <v>1114.8</v>
      </c>
      <c r="B87" s="21">
        <v>15607.2</v>
      </c>
    </row>
    <row r="88" spans="1:2" x14ac:dyDescent="0.3">
      <c r="A88" s="24">
        <v>1118.6000000000001</v>
      </c>
      <c r="B88" s="21">
        <v>2077.3999999999996</v>
      </c>
    </row>
    <row r="89" spans="1:2" x14ac:dyDescent="0.3">
      <c r="A89" s="24">
        <v>1127.7</v>
      </c>
      <c r="B89" s="21">
        <v>2094.2999999999993</v>
      </c>
    </row>
    <row r="90" spans="1:2" x14ac:dyDescent="0.3">
      <c r="A90" s="24">
        <v>1135.5</v>
      </c>
      <c r="B90" s="21">
        <v>19303.5</v>
      </c>
    </row>
    <row r="91" spans="1:2" x14ac:dyDescent="0.3">
      <c r="A91" s="24">
        <v>1140.6000000000001</v>
      </c>
      <c r="B91" s="21">
        <v>31936.800000000003</v>
      </c>
    </row>
    <row r="92" spans="1:2" x14ac:dyDescent="0.3">
      <c r="A92" s="24">
        <v>1147.5</v>
      </c>
      <c r="B92" s="21">
        <v>1402.5</v>
      </c>
    </row>
    <row r="93" spans="1:2" x14ac:dyDescent="0.3">
      <c r="A93" s="24">
        <v>1149.6000000000001</v>
      </c>
      <c r="B93" s="21">
        <v>16094.400000000001</v>
      </c>
    </row>
    <row r="94" spans="1:2" x14ac:dyDescent="0.3">
      <c r="A94" s="24">
        <v>1168.2</v>
      </c>
      <c r="B94" s="21">
        <v>16354.8</v>
      </c>
    </row>
    <row r="95" spans="1:2" x14ac:dyDescent="0.3">
      <c r="A95" s="24">
        <v>1176</v>
      </c>
      <c r="B95" s="21">
        <v>4704</v>
      </c>
    </row>
    <row r="96" spans="1:2" x14ac:dyDescent="0.3">
      <c r="A96" s="24">
        <v>1178.1000000000001</v>
      </c>
      <c r="B96" s="21">
        <v>2187.8999999999996</v>
      </c>
    </row>
    <row r="97" spans="1:2" x14ac:dyDescent="0.3">
      <c r="A97" s="24">
        <v>1193.4000000000001</v>
      </c>
      <c r="B97" s="21">
        <v>16707.599999999999</v>
      </c>
    </row>
    <row r="98" spans="1:2" x14ac:dyDescent="0.3">
      <c r="A98" s="24">
        <v>1218</v>
      </c>
      <c r="B98" s="21">
        <v>4872</v>
      </c>
    </row>
    <row r="99" spans="1:2" x14ac:dyDescent="0.3">
      <c r="A99" s="24">
        <v>1236</v>
      </c>
      <c r="B99" s="21">
        <v>11124</v>
      </c>
    </row>
    <row r="100" spans="1:2" x14ac:dyDescent="0.3">
      <c r="A100" s="24">
        <v>1249.5</v>
      </c>
      <c r="B100" s="21">
        <v>2261</v>
      </c>
    </row>
    <row r="101" spans="1:2" x14ac:dyDescent="0.3">
      <c r="A101" s="24">
        <v>1290</v>
      </c>
      <c r="B101" s="21">
        <v>5160</v>
      </c>
    </row>
    <row r="102" spans="1:2" x14ac:dyDescent="0.3">
      <c r="A102" s="24">
        <v>1326</v>
      </c>
      <c r="B102" s="21">
        <v>8398</v>
      </c>
    </row>
    <row r="103" spans="1:2" x14ac:dyDescent="0.3">
      <c r="A103" s="24">
        <v>1339.2</v>
      </c>
      <c r="B103" s="21">
        <v>8704.7999999999993</v>
      </c>
    </row>
    <row r="104" spans="1:2" x14ac:dyDescent="0.3">
      <c r="A104" s="24">
        <v>1347.6000000000001</v>
      </c>
      <c r="B104" s="21">
        <v>8759.4</v>
      </c>
    </row>
    <row r="105" spans="1:2" x14ac:dyDescent="0.3">
      <c r="A105" s="24">
        <v>1362.2</v>
      </c>
      <c r="B105" s="21">
        <v>2529.7999999999993</v>
      </c>
    </row>
    <row r="106" spans="1:2" x14ac:dyDescent="0.3">
      <c r="A106" s="24">
        <v>1362.8999999999999</v>
      </c>
      <c r="B106" s="21">
        <v>1233.1000000000004</v>
      </c>
    </row>
    <row r="107" spans="1:2" x14ac:dyDescent="0.3">
      <c r="A107" s="24">
        <v>1375.5</v>
      </c>
      <c r="B107" s="21">
        <v>12379.5</v>
      </c>
    </row>
    <row r="108" spans="1:2" x14ac:dyDescent="0.3">
      <c r="A108" s="24">
        <v>1380.75</v>
      </c>
      <c r="B108" s="21">
        <v>6509.25</v>
      </c>
    </row>
    <row r="109" spans="1:2" x14ac:dyDescent="0.3">
      <c r="A109" s="24">
        <v>1416</v>
      </c>
      <c r="B109" s="21">
        <v>11328</v>
      </c>
    </row>
    <row r="110" spans="1:2" x14ac:dyDescent="0.3">
      <c r="A110" s="24">
        <v>1436.3999999999999</v>
      </c>
      <c r="B110" s="21">
        <v>1299.6000000000004</v>
      </c>
    </row>
    <row r="111" spans="1:2" x14ac:dyDescent="0.3">
      <c r="A111" s="24">
        <v>1442.25</v>
      </c>
      <c r="B111" s="21">
        <v>1762.75</v>
      </c>
    </row>
    <row r="112" spans="1:2" x14ac:dyDescent="0.3">
      <c r="A112" s="24">
        <v>1443.75</v>
      </c>
      <c r="B112" s="21">
        <v>8181.25</v>
      </c>
    </row>
    <row r="113" spans="1:2" x14ac:dyDescent="0.3">
      <c r="A113" s="24">
        <v>1455</v>
      </c>
      <c r="B113" s="21">
        <v>3395</v>
      </c>
    </row>
    <row r="114" spans="1:2" x14ac:dyDescent="0.3">
      <c r="A114" s="24">
        <v>1458.75</v>
      </c>
      <c r="B114" s="21">
        <v>16532.5</v>
      </c>
    </row>
    <row r="115" spans="1:2" x14ac:dyDescent="0.3">
      <c r="A115" s="24">
        <v>1473.75</v>
      </c>
      <c r="B115" s="21">
        <v>1801.25</v>
      </c>
    </row>
    <row r="116" spans="1:2" x14ac:dyDescent="0.3">
      <c r="A116" s="24">
        <v>1475.25</v>
      </c>
      <c r="B116" s="21">
        <v>8359.75</v>
      </c>
    </row>
    <row r="117" spans="1:2" x14ac:dyDescent="0.3">
      <c r="A117" s="24">
        <v>1485</v>
      </c>
      <c r="B117" s="21">
        <v>1815</v>
      </c>
    </row>
    <row r="118" spans="1:2" x14ac:dyDescent="0.3">
      <c r="A118" s="24">
        <v>1487.4</v>
      </c>
      <c r="B118" s="21">
        <v>20823.599999999999</v>
      </c>
    </row>
    <row r="119" spans="1:2" x14ac:dyDescent="0.3">
      <c r="A119" s="24">
        <v>1487.5</v>
      </c>
      <c r="B119" s="21">
        <v>2762.5</v>
      </c>
    </row>
    <row r="120" spans="1:2" x14ac:dyDescent="0.3">
      <c r="A120" s="24">
        <v>1487.8500000000001</v>
      </c>
      <c r="B120" s="21">
        <v>7014.1500000000015</v>
      </c>
    </row>
    <row r="121" spans="1:2" x14ac:dyDescent="0.3">
      <c r="A121" s="24">
        <v>1495.2</v>
      </c>
      <c r="B121" s="21">
        <v>2776.7999999999993</v>
      </c>
    </row>
    <row r="122" spans="1:2" x14ac:dyDescent="0.3">
      <c r="A122" s="24">
        <v>1510.425</v>
      </c>
      <c r="B122" s="21">
        <v>1366.5750000000007</v>
      </c>
    </row>
    <row r="123" spans="1:2" x14ac:dyDescent="0.3">
      <c r="A123" s="24">
        <v>1523.25</v>
      </c>
      <c r="B123" s="21">
        <v>19125.25</v>
      </c>
    </row>
    <row r="124" spans="1:2" x14ac:dyDescent="0.3">
      <c r="A124" s="24">
        <v>1532.25</v>
      </c>
      <c r="B124" s="21">
        <v>1872.75</v>
      </c>
    </row>
    <row r="125" spans="1:2" x14ac:dyDescent="0.3">
      <c r="A125" s="24">
        <v>1565.55</v>
      </c>
      <c r="B125" s="21">
        <v>1416.4500000000007</v>
      </c>
    </row>
    <row r="126" spans="1:2" x14ac:dyDescent="0.3">
      <c r="A126" s="24">
        <v>1566</v>
      </c>
      <c r="B126" s="21">
        <v>28188</v>
      </c>
    </row>
    <row r="127" spans="1:2" x14ac:dyDescent="0.3">
      <c r="A127" s="24">
        <v>1572.375</v>
      </c>
      <c r="B127" s="21">
        <v>7412.625</v>
      </c>
    </row>
    <row r="128" spans="1:2" x14ac:dyDescent="0.3">
      <c r="A128" s="24">
        <v>1602.6000000000001</v>
      </c>
      <c r="B128" s="21">
        <v>22436.400000000001</v>
      </c>
    </row>
    <row r="129" spans="1:2" x14ac:dyDescent="0.3">
      <c r="A129" s="24">
        <v>1628.9</v>
      </c>
      <c r="B129" s="21">
        <v>3025.1000000000004</v>
      </c>
    </row>
    <row r="130" spans="1:2" x14ac:dyDescent="0.3">
      <c r="A130" s="24">
        <v>1636.6000000000001</v>
      </c>
      <c r="B130" s="21">
        <v>6078.7999999999993</v>
      </c>
    </row>
    <row r="131" spans="1:2" x14ac:dyDescent="0.3">
      <c r="A131" s="24">
        <v>1644.3000000000002</v>
      </c>
      <c r="B131" s="21">
        <v>3053.7000000000007</v>
      </c>
    </row>
    <row r="132" spans="1:2" x14ac:dyDescent="0.3">
      <c r="A132" s="24">
        <v>1645.2</v>
      </c>
      <c r="B132" s="21">
        <v>13161.599999999999</v>
      </c>
    </row>
    <row r="133" spans="1:2" x14ac:dyDescent="0.3">
      <c r="A133" s="24">
        <v>1650</v>
      </c>
      <c r="B133" s="21">
        <v>10725</v>
      </c>
    </row>
    <row r="134" spans="1:2" x14ac:dyDescent="0.3">
      <c r="A134" s="24">
        <v>1657.95</v>
      </c>
      <c r="B134" s="21">
        <v>1500.0499999999993</v>
      </c>
    </row>
    <row r="135" spans="1:2" x14ac:dyDescent="0.3">
      <c r="A135" s="24">
        <v>1660.5</v>
      </c>
      <c r="B135" s="21">
        <v>9409.5</v>
      </c>
    </row>
    <row r="136" spans="1:2" x14ac:dyDescent="0.3">
      <c r="A136" s="24">
        <v>1686.3000000000002</v>
      </c>
      <c r="B136" s="21">
        <v>3131.7000000000007</v>
      </c>
    </row>
    <row r="137" spans="1:2" x14ac:dyDescent="0.3">
      <c r="A137" s="24">
        <v>1695.75</v>
      </c>
      <c r="B137" s="21">
        <v>9609.25</v>
      </c>
    </row>
    <row r="138" spans="1:2" x14ac:dyDescent="0.3">
      <c r="A138" s="24">
        <v>1722</v>
      </c>
      <c r="B138" s="21">
        <v>9758</v>
      </c>
    </row>
    <row r="139" spans="1:2" x14ac:dyDescent="0.3">
      <c r="A139" s="24">
        <v>1729.5</v>
      </c>
      <c r="B139" s="21">
        <v>8071</v>
      </c>
    </row>
    <row r="140" spans="1:2" x14ac:dyDescent="0.3">
      <c r="A140" s="24">
        <v>1740.9</v>
      </c>
      <c r="B140" s="21">
        <v>6466.2000000000007</v>
      </c>
    </row>
    <row r="141" spans="1:2" x14ac:dyDescent="0.3">
      <c r="A141" s="24">
        <v>1772.25</v>
      </c>
      <c r="B141" s="21">
        <v>10042.75</v>
      </c>
    </row>
    <row r="142" spans="1:2" x14ac:dyDescent="0.3">
      <c r="A142" s="24">
        <v>1777.5</v>
      </c>
      <c r="B142" s="21">
        <v>2172.5</v>
      </c>
    </row>
    <row r="143" spans="1:2" x14ac:dyDescent="0.3">
      <c r="A143" s="24">
        <v>1809</v>
      </c>
      <c r="B143" s="21">
        <v>7236</v>
      </c>
    </row>
    <row r="144" spans="1:2" x14ac:dyDescent="0.3">
      <c r="A144" s="24">
        <v>1813.35</v>
      </c>
      <c r="B144" s="21">
        <v>3281.2999999999993</v>
      </c>
    </row>
    <row r="145" spans="1:2" x14ac:dyDescent="0.3">
      <c r="A145" s="24">
        <v>1817.55</v>
      </c>
      <c r="B145" s="21">
        <v>3288.9000000000015</v>
      </c>
    </row>
    <row r="146" spans="1:2" x14ac:dyDescent="0.3">
      <c r="A146" s="24">
        <v>1818</v>
      </c>
      <c r="B146" s="21">
        <v>4242</v>
      </c>
    </row>
    <row r="147" spans="1:2" x14ac:dyDescent="0.3">
      <c r="A147" s="24">
        <v>1823.3999999999999</v>
      </c>
      <c r="B147" s="21">
        <v>14587.2</v>
      </c>
    </row>
    <row r="148" spans="1:2" x14ac:dyDescent="0.3">
      <c r="A148" s="24">
        <v>1840.5</v>
      </c>
      <c r="B148" s="21">
        <v>8589</v>
      </c>
    </row>
    <row r="149" spans="1:2" x14ac:dyDescent="0.3">
      <c r="A149" s="24">
        <v>1882.3000000000002</v>
      </c>
      <c r="B149" s="21">
        <v>6991.4000000000015</v>
      </c>
    </row>
    <row r="150" spans="1:2" x14ac:dyDescent="0.3">
      <c r="A150" s="24">
        <v>1893</v>
      </c>
      <c r="B150" s="21">
        <v>4417</v>
      </c>
    </row>
    <row r="151" spans="1:2" x14ac:dyDescent="0.3">
      <c r="A151" s="24">
        <v>1896</v>
      </c>
      <c r="B151" s="21">
        <v>12324</v>
      </c>
    </row>
    <row r="152" spans="1:2" x14ac:dyDescent="0.3">
      <c r="A152" s="24">
        <v>1898.3999999999999</v>
      </c>
      <c r="B152" s="21">
        <v>1717.6000000000004</v>
      </c>
    </row>
    <row r="153" spans="1:2" x14ac:dyDescent="0.3">
      <c r="A153" s="24">
        <v>1946</v>
      </c>
      <c r="B153" s="21">
        <v>7784</v>
      </c>
    </row>
    <row r="154" spans="1:2" x14ac:dyDescent="0.3">
      <c r="A154" s="24">
        <v>2002</v>
      </c>
      <c r="B154" s="21">
        <v>8008</v>
      </c>
    </row>
    <row r="155" spans="1:2" x14ac:dyDescent="0.3">
      <c r="A155" s="24">
        <v>2034.9</v>
      </c>
      <c r="B155" s="21">
        <v>7558.1999999999971</v>
      </c>
    </row>
    <row r="156" spans="1:2" x14ac:dyDescent="0.3">
      <c r="A156" s="24">
        <v>2062.5</v>
      </c>
      <c r="B156" s="21">
        <v>-412.5</v>
      </c>
    </row>
    <row r="157" spans="1:2" x14ac:dyDescent="0.3">
      <c r="A157" s="24">
        <v>2066</v>
      </c>
      <c r="B157" s="21">
        <v>8264</v>
      </c>
    </row>
    <row r="158" spans="1:2" x14ac:dyDescent="0.3">
      <c r="A158" s="24">
        <v>2074</v>
      </c>
      <c r="B158" s="21">
        <v>18666</v>
      </c>
    </row>
    <row r="159" spans="1:2" x14ac:dyDescent="0.3">
      <c r="A159" s="24">
        <v>2076</v>
      </c>
      <c r="B159" s="21">
        <v>16608</v>
      </c>
    </row>
    <row r="160" spans="1:2" x14ac:dyDescent="0.3">
      <c r="A160" s="24">
        <v>2086.2000000000003</v>
      </c>
      <c r="B160" s="21">
        <v>13560.3</v>
      </c>
    </row>
    <row r="161" spans="1:2" x14ac:dyDescent="0.3">
      <c r="A161" s="24">
        <v>2130</v>
      </c>
      <c r="B161" s="21">
        <v>13845</v>
      </c>
    </row>
    <row r="162" spans="1:2" x14ac:dyDescent="0.3">
      <c r="A162" s="24">
        <v>2156.4</v>
      </c>
      <c r="B162" s="21">
        <v>17251.2</v>
      </c>
    </row>
    <row r="163" spans="1:2" x14ac:dyDescent="0.3">
      <c r="A163" s="24">
        <v>2235</v>
      </c>
      <c r="B163" s="21">
        <v>8940</v>
      </c>
    </row>
    <row r="164" spans="1:2" x14ac:dyDescent="0.3">
      <c r="A164" s="24">
        <v>2236</v>
      </c>
      <c r="B164" s="21">
        <v>8944</v>
      </c>
    </row>
    <row r="165" spans="1:2" x14ac:dyDescent="0.3">
      <c r="A165" s="24">
        <v>2238</v>
      </c>
      <c r="B165" s="21">
        <v>14547</v>
      </c>
    </row>
    <row r="166" spans="1:2" x14ac:dyDescent="0.3">
      <c r="A166" s="24">
        <v>2246</v>
      </c>
      <c r="B166" s="21">
        <v>8984</v>
      </c>
    </row>
    <row r="167" spans="1:2" x14ac:dyDescent="0.3">
      <c r="A167" s="24">
        <v>2260.8000000000002</v>
      </c>
      <c r="B167" s="21">
        <v>14695.2</v>
      </c>
    </row>
    <row r="168" spans="1:2" x14ac:dyDescent="0.3">
      <c r="A168" s="24">
        <v>2295</v>
      </c>
      <c r="B168" s="21">
        <v>5355</v>
      </c>
    </row>
    <row r="169" spans="1:2" x14ac:dyDescent="0.3">
      <c r="A169" s="24">
        <v>2347.2000000000003</v>
      </c>
      <c r="B169" s="21">
        <v>15256.8</v>
      </c>
    </row>
    <row r="170" spans="1:2" x14ac:dyDescent="0.3">
      <c r="A170" s="24">
        <v>2360.4</v>
      </c>
      <c r="B170" s="21">
        <v>15342.599999999999</v>
      </c>
    </row>
    <row r="171" spans="1:2" x14ac:dyDescent="0.3">
      <c r="A171" s="24">
        <v>2444.4</v>
      </c>
      <c r="B171" s="21">
        <v>2211.6000000000004</v>
      </c>
    </row>
    <row r="172" spans="1:2" x14ac:dyDescent="0.3">
      <c r="A172" s="24">
        <v>2445.75</v>
      </c>
      <c r="B172" s="21">
        <v>5706.75</v>
      </c>
    </row>
    <row r="173" spans="1:2" x14ac:dyDescent="0.3">
      <c r="A173" s="24">
        <v>2507.4</v>
      </c>
      <c r="B173" s="21">
        <v>20059.2</v>
      </c>
    </row>
    <row r="174" spans="1:2" x14ac:dyDescent="0.3">
      <c r="A174" s="24">
        <v>2530</v>
      </c>
      <c r="B174" s="21">
        <v>10120</v>
      </c>
    </row>
    <row r="175" spans="1:2" x14ac:dyDescent="0.3">
      <c r="A175" s="24">
        <v>2541</v>
      </c>
      <c r="B175" s="21">
        <v>2299</v>
      </c>
    </row>
    <row r="176" spans="1:2" x14ac:dyDescent="0.3">
      <c r="A176" s="24">
        <v>2564</v>
      </c>
      <c r="B176" s="21">
        <v>20512</v>
      </c>
    </row>
    <row r="177" spans="1:2" x14ac:dyDescent="0.3">
      <c r="A177" s="24">
        <v>2580</v>
      </c>
      <c r="B177" s="21">
        <v>23220</v>
      </c>
    </row>
    <row r="178" spans="1:2" x14ac:dyDescent="0.3">
      <c r="A178" s="24">
        <v>2596.5</v>
      </c>
      <c r="B178" s="21">
        <v>6058.5</v>
      </c>
    </row>
    <row r="179" spans="1:2" x14ac:dyDescent="0.3">
      <c r="A179" s="24">
        <v>2606</v>
      </c>
      <c r="B179" s="21">
        <v>10424</v>
      </c>
    </row>
    <row r="180" spans="1:2" x14ac:dyDescent="0.3">
      <c r="A180" s="24">
        <v>2614.5</v>
      </c>
      <c r="B180" s="21">
        <v>6100.5</v>
      </c>
    </row>
    <row r="181" spans="1:2" x14ac:dyDescent="0.3">
      <c r="A181" s="24">
        <v>2643.75</v>
      </c>
      <c r="B181" s="21">
        <v>6462.5</v>
      </c>
    </row>
    <row r="182" spans="1:2" x14ac:dyDescent="0.3">
      <c r="A182" s="24">
        <v>2646</v>
      </c>
      <c r="B182" s="21">
        <v>23814</v>
      </c>
    </row>
    <row r="183" spans="1:2" x14ac:dyDescent="0.3">
      <c r="A183" s="24">
        <v>2658</v>
      </c>
      <c r="B183" s="21">
        <v>17277</v>
      </c>
    </row>
    <row r="184" spans="1:2" x14ac:dyDescent="0.3">
      <c r="A184" s="24">
        <v>2658.6</v>
      </c>
      <c r="B184" s="21">
        <v>2405.3999999999996</v>
      </c>
    </row>
    <row r="185" spans="1:2" x14ac:dyDescent="0.3">
      <c r="A185" s="24">
        <v>2661.75</v>
      </c>
      <c r="B185" s="21">
        <v>2408.25</v>
      </c>
    </row>
    <row r="186" spans="1:2" x14ac:dyDescent="0.3">
      <c r="A186" s="24">
        <v>2680.8</v>
      </c>
      <c r="B186" s="21">
        <v>17425.2</v>
      </c>
    </row>
    <row r="187" spans="1:2" x14ac:dyDescent="0.3">
      <c r="A187" s="24">
        <v>2715</v>
      </c>
      <c r="B187" s="21">
        <v>12670</v>
      </c>
    </row>
    <row r="188" spans="1:2" x14ac:dyDescent="0.3">
      <c r="A188" s="24">
        <v>2732</v>
      </c>
      <c r="B188" s="21">
        <v>21856</v>
      </c>
    </row>
    <row r="189" spans="1:2" x14ac:dyDescent="0.3">
      <c r="A189" s="24">
        <v>2758.8</v>
      </c>
      <c r="B189" s="21">
        <v>35864.400000000001</v>
      </c>
    </row>
    <row r="190" spans="1:2" x14ac:dyDescent="0.3">
      <c r="A190" s="24">
        <v>2778</v>
      </c>
      <c r="B190" s="21">
        <v>22224</v>
      </c>
    </row>
    <row r="191" spans="1:2" x14ac:dyDescent="0.3">
      <c r="A191" s="24">
        <v>2785.2000000000003</v>
      </c>
      <c r="B191" s="21">
        <v>18103.8</v>
      </c>
    </row>
    <row r="192" spans="1:2" x14ac:dyDescent="0.3">
      <c r="A192" s="24">
        <v>2798.25</v>
      </c>
      <c r="B192" s="21">
        <v>2531.75</v>
      </c>
    </row>
    <row r="193" spans="1:2" x14ac:dyDescent="0.3">
      <c r="A193" s="24">
        <v>2808</v>
      </c>
      <c r="B193" s="21">
        <v>18252</v>
      </c>
    </row>
    <row r="194" spans="1:2" x14ac:dyDescent="0.3">
      <c r="A194" s="24">
        <v>2810.4</v>
      </c>
      <c r="B194" s="21">
        <v>36535.199999999997</v>
      </c>
    </row>
    <row r="195" spans="1:2" x14ac:dyDescent="0.3">
      <c r="A195" s="24">
        <v>2830.7999999999997</v>
      </c>
      <c r="B195" s="21">
        <v>2561.2000000000007</v>
      </c>
    </row>
    <row r="196" spans="1:2" x14ac:dyDescent="0.3">
      <c r="A196" s="24">
        <v>2841.2999999999997</v>
      </c>
      <c r="B196" s="21">
        <v>2570.7000000000007</v>
      </c>
    </row>
    <row r="197" spans="1:2" x14ac:dyDescent="0.3">
      <c r="A197" s="24">
        <v>2842</v>
      </c>
      <c r="B197" s="21">
        <v>11368</v>
      </c>
    </row>
    <row r="198" spans="1:2" x14ac:dyDescent="0.3">
      <c r="A198" s="24">
        <v>2870.7</v>
      </c>
      <c r="B198" s="21">
        <v>5194.5999999999985</v>
      </c>
    </row>
    <row r="199" spans="1:2" x14ac:dyDescent="0.3">
      <c r="A199" s="24">
        <v>2917.2000000000003</v>
      </c>
      <c r="B199" s="21">
        <v>37923.599999999999</v>
      </c>
    </row>
    <row r="200" spans="1:2" x14ac:dyDescent="0.3">
      <c r="A200" s="24">
        <v>3040</v>
      </c>
      <c r="B200" s="21">
        <v>12160</v>
      </c>
    </row>
    <row r="201" spans="1:2" x14ac:dyDescent="0.3">
      <c r="A201" s="24">
        <v>3045</v>
      </c>
      <c r="B201" s="21">
        <v>7105</v>
      </c>
    </row>
    <row r="202" spans="1:2" x14ac:dyDescent="0.3">
      <c r="A202" s="24">
        <v>3048.15</v>
      </c>
      <c r="B202" s="21">
        <v>2757.8499999999985</v>
      </c>
    </row>
    <row r="203" spans="1:2" x14ac:dyDescent="0.3">
      <c r="A203" s="24">
        <v>3070</v>
      </c>
      <c r="B203" s="21">
        <v>12280</v>
      </c>
    </row>
    <row r="204" spans="1:2" x14ac:dyDescent="0.3">
      <c r="A204" s="24">
        <v>3121.2</v>
      </c>
      <c r="B204" s="21">
        <v>12484.8</v>
      </c>
    </row>
    <row r="205" spans="1:2" x14ac:dyDescent="0.3">
      <c r="A205" s="24">
        <v>3126</v>
      </c>
      <c r="B205" s="21">
        <v>12504</v>
      </c>
    </row>
    <row r="206" spans="1:2" x14ac:dyDescent="0.3">
      <c r="A206" s="24">
        <v>3145.7999999999997</v>
      </c>
      <c r="B206" s="21">
        <v>5692.4000000000015</v>
      </c>
    </row>
    <row r="207" spans="1:2" x14ac:dyDescent="0.3">
      <c r="A207" s="24">
        <v>3151.5</v>
      </c>
      <c r="B207" s="21">
        <v>7353.5</v>
      </c>
    </row>
    <row r="208" spans="1:2" x14ac:dyDescent="0.3">
      <c r="A208" s="24">
        <v>3158</v>
      </c>
      <c r="B208" s="21">
        <v>12632</v>
      </c>
    </row>
    <row r="209" spans="1:2" x14ac:dyDescent="0.3">
      <c r="A209" s="24">
        <v>3174</v>
      </c>
      <c r="B209" s="21">
        <v>7406</v>
      </c>
    </row>
    <row r="210" spans="1:2" x14ac:dyDescent="0.3">
      <c r="A210" s="24">
        <v>3186</v>
      </c>
      <c r="B210" s="21">
        <v>12744</v>
      </c>
    </row>
    <row r="211" spans="1:2" x14ac:dyDescent="0.3">
      <c r="A211" s="24">
        <v>3210</v>
      </c>
      <c r="B211" s="21">
        <v>14980</v>
      </c>
    </row>
    <row r="212" spans="1:2" x14ac:dyDescent="0.3">
      <c r="A212" s="24">
        <v>3250.7999999999997</v>
      </c>
      <c r="B212" s="21">
        <v>13003.2</v>
      </c>
    </row>
    <row r="213" spans="1:2" x14ac:dyDescent="0.3">
      <c r="A213" s="24">
        <v>3267.6000000000004</v>
      </c>
      <c r="B213" s="21">
        <v>21239.4</v>
      </c>
    </row>
    <row r="214" spans="1:2" x14ac:dyDescent="0.3">
      <c r="A214" s="24">
        <v>3297</v>
      </c>
      <c r="B214" s="21">
        <v>7693</v>
      </c>
    </row>
    <row r="215" spans="1:2" x14ac:dyDescent="0.3">
      <c r="A215" s="24">
        <v>3315.6000000000004</v>
      </c>
      <c r="B215" s="21">
        <v>21551.4</v>
      </c>
    </row>
    <row r="216" spans="1:2" x14ac:dyDescent="0.3">
      <c r="A216" s="24">
        <v>3366</v>
      </c>
      <c r="B216" s="21">
        <v>7854</v>
      </c>
    </row>
    <row r="217" spans="1:2" x14ac:dyDescent="0.3">
      <c r="A217" s="24">
        <v>3388</v>
      </c>
      <c r="B217" s="21">
        <v>13552</v>
      </c>
    </row>
    <row r="218" spans="1:2" x14ac:dyDescent="0.3">
      <c r="A218" s="24">
        <v>3404.25</v>
      </c>
      <c r="B218" s="21">
        <v>4160.75</v>
      </c>
    </row>
    <row r="219" spans="1:2" x14ac:dyDescent="0.3">
      <c r="A219" s="24">
        <v>3474</v>
      </c>
      <c r="B219" s="21">
        <v>8106</v>
      </c>
    </row>
    <row r="220" spans="1:2" x14ac:dyDescent="0.3">
      <c r="A220" s="24">
        <v>3486.6</v>
      </c>
      <c r="B220" s="21">
        <v>13946.400000000001</v>
      </c>
    </row>
    <row r="221" spans="1:2" x14ac:dyDescent="0.3">
      <c r="A221" s="24">
        <v>3510</v>
      </c>
      <c r="B221" s="21">
        <v>4290</v>
      </c>
    </row>
    <row r="222" spans="1:2" x14ac:dyDescent="0.3">
      <c r="A222" s="24">
        <v>3514</v>
      </c>
      <c r="B222" s="21">
        <v>28112</v>
      </c>
    </row>
    <row r="223" spans="1:2" x14ac:dyDescent="0.3">
      <c r="A223" s="24">
        <v>3521.25</v>
      </c>
      <c r="B223" s="21">
        <v>8607.5</v>
      </c>
    </row>
    <row r="224" spans="1:2" x14ac:dyDescent="0.3">
      <c r="A224" s="24">
        <v>3592.5749999999998</v>
      </c>
      <c r="B224" s="21">
        <v>3250.4249999999993</v>
      </c>
    </row>
    <row r="225" spans="1:2" x14ac:dyDescent="0.3">
      <c r="A225" s="24">
        <v>3604</v>
      </c>
      <c r="B225" s="21">
        <v>14416</v>
      </c>
    </row>
    <row r="226" spans="1:2" x14ac:dyDescent="0.3">
      <c r="A226" s="24">
        <v>3627</v>
      </c>
      <c r="B226" s="21">
        <v>14508</v>
      </c>
    </row>
    <row r="227" spans="1:2" x14ac:dyDescent="0.3">
      <c r="A227" s="24">
        <v>3631.5</v>
      </c>
      <c r="B227" s="21">
        <v>4438.5</v>
      </c>
    </row>
    <row r="228" spans="1:2" x14ac:dyDescent="0.3">
      <c r="A228" s="24">
        <v>3668</v>
      </c>
      <c r="B228" s="21">
        <v>14672</v>
      </c>
    </row>
    <row r="229" spans="1:2" x14ac:dyDescent="0.3">
      <c r="A229" s="24">
        <v>3699</v>
      </c>
      <c r="B229" s="21">
        <v>17262</v>
      </c>
    </row>
    <row r="230" spans="1:2" x14ac:dyDescent="0.3">
      <c r="A230" s="24">
        <v>3747</v>
      </c>
      <c r="B230" s="21">
        <v>17486</v>
      </c>
    </row>
    <row r="231" spans="1:2" x14ac:dyDescent="0.3">
      <c r="A231" s="24">
        <v>3751.5</v>
      </c>
      <c r="B231" s="21">
        <v>8753.5</v>
      </c>
    </row>
    <row r="232" spans="1:2" x14ac:dyDescent="0.3">
      <c r="A232" s="24">
        <v>3796.2</v>
      </c>
      <c r="B232" s="21">
        <v>15184.8</v>
      </c>
    </row>
    <row r="233" spans="1:2" x14ac:dyDescent="0.3">
      <c r="A233" s="24">
        <v>3850.5</v>
      </c>
      <c r="B233" s="21">
        <v>34654.5</v>
      </c>
    </row>
    <row r="234" spans="1:2" x14ac:dyDescent="0.3">
      <c r="A234" s="24">
        <v>3864</v>
      </c>
      <c r="B234" s="21">
        <v>34776</v>
      </c>
    </row>
    <row r="235" spans="1:2" x14ac:dyDescent="0.3">
      <c r="A235" s="24">
        <v>3868</v>
      </c>
      <c r="B235" s="21">
        <v>15472</v>
      </c>
    </row>
    <row r="236" spans="1:2" x14ac:dyDescent="0.3">
      <c r="A236" s="24">
        <v>3885</v>
      </c>
      <c r="B236" s="21">
        <v>9065</v>
      </c>
    </row>
    <row r="237" spans="1:2" x14ac:dyDescent="0.3">
      <c r="A237" s="24">
        <v>3893.4</v>
      </c>
      <c r="B237" s="21">
        <v>25307.1</v>
      </c>
    </row>
    <row r="238" spans="1:2" x14ac:dyDescent="0.3">
      <c r="A238" s="24">
        <v>3921.75</v>
      </c>
      <c r="B238" s="21">
        <v>9586.5</v>
      </c>
    </row>
    <row r="239" spans="1:2" x14ac:dyDescent="0.3">
      <c r="A239" s="24">
        <v>3930</v>
      </c>
      <c r="B239" s="21">
        <v>9170</v>
      </c>
    </row>
    <row r="240" spans="1:2" x14ac:dyDescent="0.3">
      <c r="A240" s="24">
        <v>3942</v>
      </c>
      <c r="B240" s="21">
        <v>9198</v>
      </c>
    </row>
    <row r="241" spans="1:2" x14ac:dyDescent="0.3">
      <c r="A241" s="24">
        <v>3952</v>
      </c>
      <c r="B241" s="21">
        <v>31616</v>
      </c>
    </row>
    <row r="242" spans="1:2" x14ac:dyDescent="0.3">
      <c r="A242" s="24">
        <v>3975.75</v>
      </c>
      <c r="B242" s="21">
        <v>4859.25</v>
      </c>
    </row>
    <row r="243" spans="1:2" x14ac:dyDescent="0.3">
      <c r="A243" s="24">
        <v>3999.6</v>
      </c>
      <c r="B243" s="21">
        <v>15998.400000000001</v>
      </c>
    </row>
    <row r="244" spans="1:2" x14ac:dyDescent="0.3">
      <c r="A244" s="24">
        <v>4137.5</v>
      </c>
      <c r="B244" s="21">
        <v>-1655</v>
      </c>
    </row>
    <row r="245" spans="1:2" x14ac:dyDescent="0.3">
      <c r="A245" s="24">
        <v>4143.75</v>
      </c>
      <c r="B245" s="21">
        <v>-1657.5</v>
      </c>
    </row>
    <row r="246" spans="1:2" x14ac:dyDescent="0.3">
      <c r="A246" s="24">
        <v>4186.5</v>
      </c>
      <c r="B246" s="21">
        <v>9768.5</v>
      </c>
    </row>
    <row r="247" spans="1:2" x14ac:dyDescent="0.3">
      <c r="A247" s="24">
        <v>4207.5</v>
      </c>
      <c r="B247" s="21">
        <v>5142.5</v>
      </c>
    </row>
    <row r="248" spans="1:2" x14ac:dyDescent="0.3">
      <c r="A248" s="24">
        <v>4266</v>
      </c>
      <c r="B248" s="21">
        <v>19908</v>
      </c>
    </row>
    <row r="249" spans="1:2" x14ac:dyDescent="0.3">
      <c r="A249" s="24">
        <v>4291.5</v>
      </c>
      <c r="B249" s="21">
        <v>10013.5</v>
      </c>
    </row>
    <row r="250" spans="1:2" x14ac:dyDescent="0.3">
      <c r="A250" s="24">
        <v>4365.8999999999996</v>
      </c>
      <c r="B250" s="21">
        <v>17463.599999999999</v>
      </c>
    </row>
    <row r="251" spans="1:2" x14ac:dyDescent="0.3">
      <c r="A251" s="24">
        <v>4396.5</v>
      </c>
      <c r="B251" s="21">
        <v>10258.5</v>
      </c>
    </row>
    <row r="252" spans="1:2" x14ac:dyDescent="0.3">
      <c r="A252" s="24">
        <v>4455</v>
      </c>
      <c r="B252" s="21">
        <v>17820</v>
      </c>
    </row>
    <row r="253" spans="1:2" x14ac:dyDescent="0.3">
      <c r="A253" s="24">
        <v>4464</v>
      </c>
      <c r="B253" s="21">
        <v>5456</v>
      </c>
    </row>
    <row r="254" spans="1:2" x14ac:dyDescent="0.3">
      <c r="A254" s="24">
        <v>4543.75</v>
      </c>
      <c r="B254" s="21">
        <v>-1817.5</v>
      </c>
    </row>
    <row r="255" spans="1:2" x14ac:dyDescent="0.3">
      <c r="A255" s="24">
        <v>4593</v>
      </c>
      <c r="B255" s="21">
        <v>21434</v>
      </c>
    </row>
    <row r="256" spans="1:2" x14ac:dyDescent="0.3">
      <c r="A256" s="24">
        <v>4594</v>
      </c>
      <c r="B256" s="21">
        <v>18376</v>
      </c>
    </row>
    <row r="257" spans="1:2" x14ac:dyDescent="0.3">
      <c r="A257" s="24">
        <v>4633.2</v>
      </c>
      <c r="B257" s="21">
        <v>18532.8</v>
      </c>
    </row>
    <row r="258" spans="1:2" x14ac:dyDescent="0.3">
      <c r="A258" s="24">
        <v>4640.625</v>
      </c>
      <c r="B258" s="21">
        <v>-928.125</v>
      </c>
    </row>
    <row r="259" spans="1:2" x14ac:dyDescent="0.3">
      <c r="A259" s="24">
        <v>4655</v>
      </c>
      <c r="B259" s="21">
        <v>19285</v>
      </c>
    </row>
    <row r="260" spans="1:2" x14ac:dyDescent="0.3">
      <c r="A260" s="24">
        <v>4662</v>
      </c>
      <c r="B260" s="21">
        <v>11396</v>
      </c>
    </row>
    <row r="261" spans="1:2" x14ac:dyDescent="0.3">
      <c r="A261" s="24">
        <v>4789.8</v>
      </c>
      <c r="B261" s="21">
        <v>19159.2</v>
      </c>
    </row>
    <row r="262" spans="1:2" x14ac:dyDescent="0.3">
      <c r="A262" s="24">
        <v>4795</v>
      </c>
      <c r="B262" s="21">
        <v>39730</v>
      </c>
    </row>
    <row r="263" spans="1:2" x14ac:dyDescent="0.3">
      <c r="A263" s="24">
        <v>4853.25</v>
      </c>
      <c r="B263" s="21">
        <v>11863.5</v>
      </c>
    </row>
    <row r="264" spans="1:2" x14ac:dyDescent="0.3">
      <c r="A264" s="24">
        <v>4875.75</v>
      </c>
      <c r="B264" s="21">
        <v>11918.5</v>
      </c>
    </row>
    <row r="265" spans="1:2" x14ac:dyDescent="0.3">
      <c r="A265" s="24">
        <v>4918.75</v>
      </c>
      <c r="B265" s="21">
        <v>-1967.5</v>
      </c>
    </row>
    <row r="266" spans="1:2" x14ac:dyDescent="0.3">
      <c r="A266" s="24">
        <v>4968.75</v>
      </c>
      <c r="B266" s="21">
        <v>-993.75</v>
      </c>
    </row>
    <row r="267" spans="1:2" x14ac:dyDescent="0.3">
      <c r="A267" s="24">
        <v>4969.8</v>
      </c>
      <c r="B267" s="21">
        <v>19879.2</v>
      </c>
    </row>
    <row r="268" spans="1:2" x14ac:dyDescent="0.3">
      <c r="A268" s="24">
        <v>5056.25</v>
      </c>
      <c r="B268" s="21">
        <v>-2022.5</v>
      </c>
    </row>
    <row r="269" spans="1:2" x14ac:dyDescent="0.3">
      <c r="A269" s="24">
        <v>5145</v>
      </c>
      <c r="B269" s="21">
        <v>24010</v>
      </c>
    </row>
    <row r="270" spans="1:2" x14ac:dyDescent="0.3">
      <c r="A270" s="24">
        <v>5175</v>
      </c>
      <c r="B270" s="21">
        <v>12650</v>
      </c>
    </row>
    <row r="271" spans="1:2" x14ac:dyDescent="0.3">
      <c r="A271" s="24">
        <v>5229</v>
      </c>
      <c r="B271" s="21">
        <v>12201</v>
      </c>
    </row>
    <row r="272" spans="1:2" x14ac:dyDescent="0.3">
      <c r="A272" s="24">
        <v>5245.2</v>
      </c>
      <c r="B272" s="21">
        <v>41961.599999999999</v>
      </c>
    </row>
    <row r="273" spans="1:2" x14ac:dyDescent="0.3">
      <c r="A273" s="24">
        <v>5326</v>
      </c>
      <c r="B273" s="21">
        <v>42608</v>
      </c>
    </row>
    <row r="274" spans="1:2" x14ac:dyDescent="0.3">
      <c r="A274" s="24">
        <v>5364</v>
      </c>
      <c r="B274" s="21">
        <v>21456</v>
      </c>
    </row>
    <row r="275" spans="1:2" x14ac:dyDescent="0.3">
      <c r="A275" s="24">
        <v>5512.5</v>
      </c>
      <c r="B275" s="21">
        <v>12862.5</v>
      </c>
    </row>
    <row r="276" spans="1:2" x14ac:dyDescent="0.3">
      <c r="A276" s="24">
        <v>5557.5</v>
      </c>
      <c r="B276" s="21">
        <v>6792.5</v>
      </c>
    </row>
    <row r="277" spans="1:2" x14ac:dyDescent="0.3">
      <c r="A277" s="24">
        <v>5664</v>
      </c>
      <c r="B277" s="21">
        <v>22656</v>
      </c>
    </row>
    <row r="278" spans="1:2" x14ac:dyDescent="0.3">
      <c r="A278" s="24">
        <v>5701.5</v>
      </c>
      <c r="B278" s="21">
        <v>13303.5</v>
      </c>
    </row>
    <row r="279" spans="1:2" x14ac:dyDescent="0.3">
      <c r="A279" s="24">
        <v>5733</v>
      </c>
      <c r="B279" s="21">
        <v>7007</v>
      </c>
    </row>
    <row r="280" spans="1:2" x14ac:dyDescent="0.3">
      <c r="A280" s="24">
        <v>5757.75</v>
      </c>
      <c r="B280" s="21">
        <v>7037.25</v>
      </c>
    </row>
    <row r="281" spans="1:2" x14ac:dyDescent="0.3">
      <c r="A281" s="24">
        <v>5768.75</v>
      </c>
      <c r="B281" s="21">
        <v>-1153.75</v>
      </c>
    </row>
    <row r="282" spans="1:2" x14ac:dyDescent="0.3">
      <c r="A282" s="24">
        <v>5775.75</v>
      </c>
      <c r="B282" s="21">
        <v>14118.5</v>
      </c>
    </row>
    <row r="283" spans="1:2" x14ac:dyDescent="0.3">
      <c r="A283" s="24">
        <v>5862</v>
      </c>
      <c r="B283" s="21">
        <v>13678</v>
      </c>
    </row>
    <row r="284" spans="1:2" x14ac:dyDescent="0.3">
      <c r="A284" s="24">
        <v>5986</v>
      </c>
      <c r="B284" s="21">
        <v>23944</v>
      </c>
    </row>
    <row r="285" spans="1:2" x14ac:dyDescent="0.3">
      <c r="A285" s="24">
        <v>6050.25</v>
      </c>
      <c r="B285" s="21">
        <v>7394.75</v>
      </c>
    </row>
    <row r="286" spans="1:2" x14ac:dyDescent="0.3">
      <c r="A286" s="24">
        <v>6107.5</v>
      </c>
      <c r="B286" s="21">
        <v>25302.5</v>
      </c>
    </row>
    <row r="287" spans="1:2" x14ac:dyDescent="0.3">
      <c r="A287" s="24">
        <v>6117</v>
      </c>
      <c r="B287" s="21">
        <v>14273</v>
      </c>
    </row>
    <row r="288" spans="1:2" x14ac:dyDescent="0.3">
      <c r="A288" s="24">
        <v>6336.9</v>
      </c>
      <c r="B288" s="21">
        <v>25347.599999999999</v>
      </c>
    </row>
    <row r="289" spans="1:2" x14ac:dyDescent="0.3">
      <c r="A289" s="24">
        <v>6358.5</v>
      </c>
      <c r="B289" s="21">
        <v>7771.5</v>
      </c>
    </row>
    <row r="290" spans="1:2" x14ac:dyDescent="0.3">
      <c r="A290" s="24">
        <v>6393.75</v>
      </c>
      <c r="B290" s="21">
        <v>-4688.75</v>
      </c>
    </row>
    <row r="291" spans="1:2" x14ac:dyDescent="0.3">
      <c r="A291" s="24">
        <v>6712.5</v>
      </c>
      <c r="B291" s="21">
        <v>-1342.5</v>
      </c>
    </row>
    <row r="292" spans="1:2" x14ac:dyDescent="0.3">
      <c r="A292" s="24">
        <v>6765</v>
      </c>
      <c r="B292" s="21">
        <v>15785</v>
      </c>
    </row>
    <row r="293" spans="1:2" x14ac:dyDescent="0.3">
      <c r="A293" s="24">
        <v>7087.5</v>
      </c>
      <c r="B293" s="21">
        <v>-4252.5</v>
      </c>
    </row>
    <row r="294" spans="1:2" x14ac:dyDescent="0.3">
      <c r="A294" s="24">
        <v>7112.5</v>
      </c>
      <c r="B294" s="21">
        <v>-2845</v>
      </c>
    </row>
    <row r="295" spans="1:2" x14ac:dyDescent="0.3">
      <c r="A295" s="24">
        <v>7182</v>
      </c>
      <c r="B295" s="21">
        <v>16758</v>
      </c>
    </row>
    <row r="296" spans="1:2" x14ac:dyDescent="0.3">
      <c r="A296" s="24">
        <v>7198.875</v>
      </c>
      <c r="B296" s="21">
        <v>8798.625</v>
      </c>
    </row>
    <row r="297" spans="1:2" x14ac:dyDescent="0.3">
      <c r="A297" s="24">
        <v>7246.8</v>
      </c>
      <c r="B297" s="21">
        <v>28987.199999999997</v>
      </c>
    </row>
    <row r="298" spans="1:2" x14ac:dyDescent="0.3">
      <c r="A298" s="24">
        <v>7284</v>
      </c>
      <c r="B298" s="21">
        <v>16996</v>
      </c>
    </row>
    <row r="299" spans="1:2" x14ac:dyDescent="0.3">
      <c r="A299" s="24">
        <v>7410</v>
      </c>
      <c r="B299" s="21">
        <v>34580</v>
      </c>
    </row>
    <row r="300" spans="1:2" x14ac:dyDescent="0.3">
      <c r="A300" s="24">
        <v>7564.5</v>
      </c>
      <c r="B300" s="21">
        <v>17650.5</v>
      </c>
    </row>
    <row r="301" spans="1:2" x14ac:dyDescent="0.3">
      <c r="A301" s="24">
        <v>7737</v>
      </c>
      <c r="B301" s="21">
        <v>18053</v>
      </c>
    </row>
    <row r="302" spans="1:2" x14ac:dyDescent="0.3">
      <c r="A302" s="24">
        <v>7887</v>
      </c>
      <c r="B302" s="21">
        <v>18403</v>
      </c>
    </row>
    <row r="303" spans="1:2" x14ac:dyDescent="0.3">
      <c r="A303" s="24">
        <v>7923</v>
      </c>
      <c r="B303" s="21">
        <v>18487</v>
      </c>
    </row>
    <row r="304" spans="1:2" x14ac:dyDescent="0.3">
      <c r="A304" s="24">
        <v>8043.75</v>
      </c>
      <c r="B304" s="21">
        <v>-3217.5</v>
      </c>
    </row>
    <row r="305" spans="1:2" x14ac:dyDescent="0.3">
      <c r="A305" s="24">
        <v>8124</v>
      </c>
      <c r="B305" s="21">
        <v>18956</v>
      </c>
    </row>
    <row r="306" spans="1:2" x14ac:dyDescent="0.3">
      <c r="A306" s="24">
        <v>8415</v>
      </c>
      <c r="B306" s="21">
        <v>19635</v>
      </c>
    </row>
    <row r="307" spans="1:2" x14ac:dyDescent="0.3">
      <c r="A307" s="24">
        <v>8717.625</v>
      </c>
      <c r="B307" s="21">
        <v>10654.875</v>
      </c>
    </row>
    <row r="308" spans="1:2" x14ac:dyDescent="0.3">
      <c r="A308" s="24">
        <v>8800</v>
      </c>
      <c r="B308" s="21">
        <v>-10560</v>
      </c>
    </row>
    <row r="309" spans="1:2" x14ac:dyDescent="0.3">
      <c r="A309" s="24">
        <v>8805</v>
      </c>
      <c r="B309" s="21">
        <v>20545</v>
      </c>
    </row>
    <row r="310" spans="1:2" x14ac:dyDescent="0.3">
      <c r="A310" s="24">
        <v>8976</v>
      </c>
      <c r="B310" s="21">
        <v>41888</v>
      </c>
    </row>
    <row r="311" spans="1:2" x14ac:dyDescent="0.3">
      <c r="A311" s="24">
        <v>8994.375</v>
      </c>
      <c r="B311" s="21">
        <v>10993.125</v>
      </c>
    </row>
    <row r="312" spans="1:2" x14ac:dyDescent="0.3">
      <c r="A312" s="24">
        <v>9660</v>
      </c>
      <c r="B312" s="21">
        <v>6440</v>
      </c>
    </row>
    <row r="313" spans="1:2" x14ac:dyDescent="0.3">
      <c r="A313" s="24">
        <v>9812.5</v>
      </c>
      <c r="B313" s="21">
        <v>-3925</v>
      </c>
    </row>
    <row r="314" spans="1:2" x14ac:dyDescent="0.3">
      <c r="A314" s="24">
        <v>10020</v>
      </c>
      <c r="B314" s="21">
        <v>6680</v>
      </c>
    </row>
    <row r="315" spans="1:2" x14ac:dyDescent="0.3">
      <c r="A315" s="24">
        <v>10087.5</v>
      </c>
      <c r="B315" s="21">
        <v>-6052.5</v>
      </c>
    </row>
    <row r="316" spans="1:2" x14ac:dyDescent="0.3">
      <c r="A316" s="24">
        <v>10335</v>
      </c>
      <c r="B316" s="21">
        <v>48230</v>
      </c>
    </row>
    <row r="317" spans="1:2" x14ac:dyDescent="0.3">
      <c r="A317" s="24">
        <v>10350</v>
      </c>
      <c r="B317" s="21">
        <v>-7590</v>
      </c>
    </row>
    <row r="318" spans="1:2" x14ac:dyDescent="0.3">
      <c r="A318" s="24">
        <v>10375</v>
      </c>
      <c r="B318" s="21">
        <v>-2075</v>
      </c>
    </row>
    <row r="319" spans="1:2" x14ac:dyDescent="0.3">
      <c r="A319" s="24">
        <v>10387.5</v>
      </c>
      <c r="B319" s="21">
        <v>-7617.5</v>
      </c>
    </row>
    <row r="320" spans="1:2" x14ac:dyDescent="0.3">
      <c r="A320" s="24">
        <v>10500</v>
      </c>
      <c r="B320" s="21">
        <v>7500</v>
      </c>
    </row>
    <row r="321" spans="1:2" x14ac:dyDescent="0.3">
      <c r="A321" s="24">
        <v>10662.5</v>
      </c>
      <c r="B321" s="21">
        <v>-4265</v>
      </c>
    </row>
    <row r="322" spans="1:2" x14ac:dyDescent="0.3">
      <c r="A322" s="24">
        <v>10762.5</v>
      </c>
      <c r="B322" s="21">
        <v>-12915</v>
      </c>
    </row>
    <row r="323" spans="1:2" x14ac:dyDescent="0.3">
      <c r="A323" s="24">
        <v>10856.25</v>
      </c>
      <c r="B323" s="21">
        <v>-7961.25</v>
      </c>
    </row>
    <row r="324" spans="1:2" x14ac:dyDescent="0.3">
      <c r="A324" s="24">
        <v>10900</v>
      </c>
      <c r="B324" s="21">
        <v>-2180</v>
      </c>
    </row>
    <row r="325" spans="1:2" x14ac:dyDescent="0.3">
      <c r="A325" s="24">
        <v>10962.5</v>
      </c>
      <c r="B325" s="21">
        <v>-6577.5</v>
      </c>
    </row>
    <row r="326" spans="1:2" x14ac:dyDescent="0.3">
      <c r="A326" s="24">
        <v>11087.5</v>
      </c>
      <c r="B326" s="21">
        <v>-8870</v>
      </c>
    </row>
    <row r="327" spans="1:2" x14ac:dyDescent="0.3">
      <c r="A327" s="24">
        <v>11393.75</v>
      </c>
      <c r="B327" s="21">
        <v>-2278.75</v>
      </c>
    </row>
    <row r="328" spans="1:2" x14ac:dyDescent="0.3">
      <c r="A328" s="24">
        <v>11580</v>
      </c>
      <c r="B328" s="21">
        <v>7720</v>
      </c>
    </row>
    <row r="329" spans="1:2" x14ac:dyDescent="0.3">
      <c r="A329" s="24">
        <v>11900</v>
      </c>
      <c r="B329" s="21">
        <v>-7140</v>
      </c>
    </row>
    <row r="330" spans="1:2" x14ac:dyDescent="0.3">
      <c r="A330" s="24">
        <v>12105</v>
      </c>
      <c r="B330" s="21">
        <v>2690</v>
      </c>
    </row>
    <row r="331" spans="1:2" x14ac:dyDescent="0.3">
      <c r="A331" s="24">
        <v>12425</v>
      </c>
      <c r="B331" s="21">
        <v>-7455</v>
      </c>
    </row>
    <row r="332" spans="1:2" x14ac:dyDescent="0.3">
      <c r="A332" s="24">
        <v>12431.25</v>
      </c>
      <c r="B332" s="21">
        <v>-9116.25</v>
      </c>
    </row>
    <row r="333" spans="1:2" x14ac:dyDescent="0.3">
      <c r="A333" s="24">
        <v>12556.25</v>
      </c>
      <c r="B333" s="21">
        <v>-5022.5</v>
      </c>
    </row>
    <row r="334" spans="1:2" x14ac:dyDescent="0.3">
      <c r="A334" s="24">
        <v>13335</v>
      </c>
      <c r="B334" s="21">
        <v>20955</v>
      </c>
    </row>
    <row r="335" spans="1:2" x14ac:dyDescent="0.3">
      <c r="A335" s="24">
        <v>13406.25</v>
      </c>
      <c r="B335" s="21">
        <v>-5362.5</v>
      </c>
    </row>
    <row r="336" spans="1:2" x14ac:dyDescent="0.3">
      <c r="A336" s="24">
        <v>13440</v>
      </c>
      <c r="B336" s="21">
        <v>17920</v>
      </c>
    </row>
    <row r="337" spans="1:2" x14ac:dyDescent="0.3">
      <c r="A337" s="24">
        <v>13770</v>
      </c>
      <c r="B337" s="21">
        <v>32130</v>
      </c>
    </row>
    <row r="338" spans="1:2" x14ac:dyDescent="0.3">
      <c r="A338" s="24">
        <v>13925</v>
      </c>
      <c r="B338" s="21">
        <v>-8355</v>
      </c>
    </row>
    <row r="339" spans="1:2" x14ac:dyDescent="0.3">
      <c r="A339" s="24">
        <v>14175</v>
      </c>
      <c r="B339" s="21">
        <v>10125</v>
      </c>
    </row>
    <row r="340" spans="1:2" x14ac:dyDescent="0.3">
      <c r="A340" s="24">
        <v>14225</v>
      </c>
      <c r="B340" s="21">
        <v>-2845</v>
      </c>
    </row>
    <row r="341" spans="1:2" x14ac:dyDescent="0.3">
      <c r="A341" s="24">
        <v>14770</v>
      </c>
      <c r="B341" s="21">
        <v>23210</v>
      </c>
    </row>
    <row r="342" spans="1:2" x14ac:dyDescent="0.3">
      <c r="A342" s="24">
        <v>14790</v>
      </c>
      <c r="B342" s="21">
        <v>34510</v>
      </c>
    </row>
    <row r="343" spans="1:2" x14ac:dyDescent="0.3">
      <c r="A343" s="24">
        <v>16511.25</v>
      </c>
      <c r="B343" s="21">
        <v>68403.75</v>
      </c>
    </row>
    <row r="344" spans="1:2" x14ac:dyDescent="0.3">
      <c r="A344" s="24">
        <v>16515</v>
      </c>
      <c r="B344" s="21">
        <v>38535</v>
      </c>
    </row>
    <row r="345" spans="1:2" x14ac:dyDescent="0.3">
      <c r="A345" s="24">
        <v>17056.25</v>
      </c>
      <c r="B345" s="21">
        <v>-6822.5</v>
      </c>
    </row>
    <row r="346" spans="1:2" x14ac:dyDescent="0.3">
      <c r="A346" s="24">
        <v>17756.25</v>
      </c>
      <c r="B346" s="21">
        <v>-13021.25</v>
      </c>
    </row>
    <row r="347" spans="1:2" x14ac:dyDescent="0.3">
      <c r="A347" s="24">
        <v>18060</v>
      </c>
      <c r="B347" s="21">
        <v>25800</v>
      </c>
    </row>
    <row r="348" spans="1:2" x14ac:dyDescent="0.3">
      <c r="A348" s="24">
        <v>18675</v>
      </c>
      <c r="B348" s="21">
        <v>-3735</v>
      </c>
    </row>
    <row r="349" spans="1:2" x14ac:dyDescent="0.3">
      <c r="A349" s="24">
        <v>18742.5</v>
      </c>
      <c r="B349" s="21">
        <v>13387.5</v>
      </c>
    </row>
    <row r="350" spans="1:2" x14ac:dyDescent="0.3">
      <c r="A350" s="24">
        <v>19050</v>
      </c>
      <c r="B350" s="21">
        <v>25400</v>
      </c>
    </row>
    <row r="351" spans="1:2" x14ac:dyDescent="0.3">
      <c r="A351" s="24">
        <v>19181.25</v>
      </c>
      <c r="B351" s="21">
        <v>-14066.25</v>
      </c>
    </row>
    <row r="352" spans="1:2" x14ac:dyDescent="0.3">
      <c r="A352" s="24">
        <v>19250</v>
      </c>
      <c r="B352" s="21">
        <v>-11550</v>
      </c>
    </row>
    <row r="353" spans="1:2" x14ac:dyDescent="0.3">
      <c r="A353" s="24">
        <v>19320</v>
      </c>
      <c r="B353" s="21">
        <v>30360</v>
      </c>
    </row>
    <row r="354" spans="1:2" x14ac:dyDescent="0.3">
      <c r="A354" s="24">
        <v>19440</v>
      </c>
      <c r="B354" s="21">
        <v>2160</v>
      </c>
    </row>
    <row r="355" spans="1:2" x14ac:dyDescent="0.3">
      <c r="A355" s="24">
        <v>20107.5</v>
      </c>
      <c r="B355" s="21">
        <v>31597.5</v>
      </c>
    </row>
    <row r="356" spans="1:2" x14ac:dyDescent="0.3">
      <c r="A356" s="24">
        <v>20343.75</v>
      </c>
      <c r="B356" s="21">
        <v>-29837.5</v>
      </c>
    </row>
    <row r="357" spans="1:2" x14ac:dyDescent="0.3">
      <c r="A357" s="24">
        <v>20562.5</v>
      </c>
      <c r="B357" s="21">
        <v>-12337.5</v>
      </c>
    </row>
    <row r="358" spans="1:2" x14ac:dyDescent="0.3">
      <c r="A358" s="24">
        <v>21070</v>
      </c>
      <c r="B358" s="21">
        <v>66220</v>
      </c>
    </row>
    <row r="359" spans="1:2" x14ac:dyDescent="0.3">
      <c r="A359" s="24">
        <v>21175</v>
      </c>
      <c r="B359" s="21">
        <v>87725</v>
      </c>
    </row>
    <row r="360" spans="1:2" x14ac:dyDescent="0.3">
      <c r="A360" s="24">
        <v>21217.5</v>
      </c>
      <c r="B360" s="21">
        <v>49507.5</v>
      </c>
    </row>
    <row r="361" spans="1:2" x14ac:dyDescent="0.3">
      <c r="A361" s="24">
        <v>22012.5</v>
      </c>
      <c r="B361" s="21">
        <v>-16142.5</v>
      </c>
    </row>
    <row r="362" spans="1:2" x14ac:dyDescent="0.3">
      <c r="A362" s="24">
        <v>23212.5</v>
      </c>
      <c r="B362" s="21">
        <v>-13927.5</v>
      </c>
    </row>
    <row r="363" spans="1:2" x14ac:dyDescent="0.3">
      <c r="A363" s="24">
        <v>24240</v>
      </c>
      <c r="B363" s="21">
        <v>16160</v>
      </c>
    </row>
    <row r="364" spans="1:2" x14ac:dyDescent="0.3">
      <c r="A364" s="24">
        <v>24447.5</v>
      </c>
      <c r="B364" s="21">
        <v>202565</v>
      </c>
    </row>
    <row r="365" spans="1:2" x14ac:dyDescent="0.3">
      <c r="A365" s="24">
        <v>24570</v>
      </c>
      <c r="B365" s="21">
        <v>5460</v>
      </c>
    </row>
    <row r="366" spans="1:2" x14ac:dyDescent="0.3">
      <c r="A366" s="24">
        <v>24843.75</v>
      </c>
      <c r="B366" s="21">
        <v>-14906.25</v>
      </c>
    </row>
    <row r="367" spans="1:2" x14ac:dyDescent="0.3">
      <c r="A367" s="24">
        <v>25200</v>
      </c>
      <c r="B367" s="21">
        <v>39600</v>
      </c>
    </row>
    <row r="368" spans="1:2" x14ac:dyDescent="0.3">
      <c r="A368" s="24">
        <v>25445</v>
      </c>
      <c r="B368" s="21">
        <v>79970</v>
      </c>
    </row>
    <row r="369" spans="1:2" x14ac:dyDescent="0.3">
      <c r="A369" s="24">
        <v>25920</v>
      </c>
      <c r="B369" s="21">
        <v>60480</v>
      </c>
    </row>
    <row r="370" spans="1:2" x14ac:dyDescent="0.3">
      <c r="A370" s="24">
        <v>26087.5</v>
      </c>
      <c r="B370" s="21">
        <v>-15652.5</v>
      </c>
    </row>
    <row r="371" spans="1:2" x14ac:dyDescent="0.3">
      <c r="A371" s="24">
        <v>26375</v>
      </c>
      <c r="B371" s="21">
        <v>-15825</v>
      </c>
    </row>
    <row r="372" spans="1:2" x14ac:dyDescent="0.3">
      <c r="A372" s="24">
        <v>26521.875</v>
      </c>
      <c r="B372" s="21">
        <v>-5304.375</v>
      </c>
    </row>
    <row r="373" spans="1:2" x14ac:dyDescent="0.3">
      <c r="A373" s="24">
        <v>26595</v>
      </c>
      <c r="B373" s="21">
        <v>2955</v>
      </c>
    </row>
    <row r="374" spans="1:2" x14ac:dyDescent="0.3">
      <c r="A374" s="24">
        <v>26868.75</v>
      </c>
      <c r="B374" s="21">
        <v>-19703.75</v>
      </c>
    </row>
    <row r="375" spans="1:2" x14ac:dyDescent="0.3">
      <c r="A375" s="24">
        <v>27787.5</v>
      </c>
      <c r="B375" s="21">
        <v>-20377.5</v>
      </c>
    </row>
    <row r="376" spans="1:2" x14ac:dyDescent="0.3">
      <c r="A376" s="24">
        <v>27885</v>
      </c>
      <c r="B376" s="21">
        <v>65065</v>
      </c>
    </row>
    <row r="377" spans="1:2" x14ac:dyDescent="0.3">
      <c r="A377" s="24">
        <v>28110</v>
      </c>
      <c r="B377" s="21">
        <v>65590</v>
      </c>
    </row>
    <row r="378" spans="1:2" x14ac:dyDescent="0.3">
      <c r="A378" s="24">
        <v>28735</v>
      </c>
      <c r="B378" s="21">
        <v>119045</v>
      </c>
    </row>
    <row r="379" spans="1:2" x14ac:dyDescent="0.3">
      <c r="A379" s="24">
        <v>28740</v>
      </c>
      <c r="B379" s="21">
        <v>134120</v>
      </c>
    </row>
    <row r="380" spans="1:2" x14ac:dyDescent="0.3">
      <c r="A380" s="24">
        <v>28770</v>
      </c>
      <c r="B380" s="21">
        <v>19180</v>
      </c>
    </row>
    <row r="381" spans="1:2" x14ac:dyDescent="0.3">
      <c r="A381" s="24">
        <v>29531.25</v>
      </c>
      <c r="B381" s="21">
        <v>-21656.25</v>
      </c>
    </row>
    <row r="382" spans="1:2" x14ac:dyDescent="0.3">
      <c r="A382" s="24">
        <v>29681.25</v>
      </c>
      <c r="B382" s="21">
        <v>-43532.5</v>
      </c>
    </row>
    <row r="383" spans="1:2" x14ac:dyDescent="0.3">
      <c r="A383" s="24">
        <v>29730</v>
      </c>
      <c r="B383" s="21">
        <v>39640</v>
      </c>
    </row>
    <row r="384" spans="1:2" x14ac:dyDescent="0.3">
      <c r="A384" s="24">
        <v>29812.5</v>
      </c>
      <c r="B384" s="21">
        <v>-17887.5</v>
      </c>
    </row>
    <row r="385" spans="1:2" x14ac:dyDescent="0.3">
      <c r="A385" s="24">
        <v>29925</v>
      </c>
      <c r="B385" s="21">
        <v>-21945</v>
      </c>
    </row>
    <row r="386" spans="1:2" x14ac:dyDescent="0.3">
      <c r="A386" s="24">
        <v>30315</v>
      </c>
      <c r="B386" s="21">
        <v>141470</v>
      </c>
    </row>
    <row r="387" spans="1:2" x14ac:dyDescent="0.3">
      <c r="A387" s="24">
        <v>31106.25</v>
      </c>
      <c r="B387" s="21">
        <v>-22811.25</v>
      </c>
    </row>
    <row r="388" spans="1:2" x14ac:dyDescent="0.3">
      <c r="A388" s="24">
        <v>31115</v>
      </c>
      <c r="B388" s="21">
        <v>128905</v>
      </c>
    </row>
    <row r="389" spans="1:2" x14ac:dyDescent="0.3">
      <c r="A389" s="24">
        <v>31250</v>
      </c>
      <c r="B389" s="21">
        <v>-18750</v>
      </c>
    </row>
    <row r="390" spans="1:2" x14ac:dyDescent="0.3">
      <c r="A390" s="24">
        <v>31447.5</v>
      </c>
      <c r="B390" s="21">
        <v>130282.5</v>
      </c>
    </row>
    <row r="391" spans="1:2" x14ac:dyDescent="0.3">
      <c r="A391" s="24">
        <v>32637.5</v>
      </c>
      <c r="B391" s="21">
        <v>135212.5</v>
      </c>
    </row>
    <row r="392" spans="1:2" x14ac:dyDescent="0.3">
      <c r="A392" s="24">
        <v>32707.5</v>
      </c>
      <c r="B392" s="21">
        <v>23362.5</v>
      </c>
    </row>
    <row r="393" spans="1:2" x14ac:dyDescent="0.3">
      <c r="A393" s="24">
        <v>32820</v>
      </c>
      <c r="B393" s="21">
        <v>43760</v>
      </c>
    </row>
    <row r="394" spans="1:2" x14ac:dyDescent="0.3">
      <c r="A394" s="24">
        <v>33000</v>
      </c>
      <c r="B394" s="21">
        <v>22000</v>
      </c>
    </row>
    <row r="395" spans="1:2" x14ac:dyDescent="0.3">
      <c r="A395" s="24">
        <v>33372.5</v>
      </c>
      <c r="B395" s="21">
        <v>138257.5</v>
      </c>
    </row>
    <row r="396" spans="1:2" x14ac:dyDescent="0.3">
      <c r="A396" s="24">
        <v>33547.5</v>
      </c>
      <c r="B396" s="21">
        <v>23962.5</v>
      </c>
    </row>
    <row r="397" spans="1:2" x14ac:dyDescent="0.3">
      <c r="A397" s="24">
        <v>33690</v>
      </c>
      <c r="B397" s="21">
        <v>22460</v>
      </c>
    </row>
    <row r="398" spans="1:2" x14ac:dyDescent="0.3">
      <c r="A398" s="24">
        <v>33825</v>
      </c>
      <c r="B398" s="21">
        <v>-24805</v>
      </c>
    </row>
    <row r="399" spans="1:2" x14ac:dyDescent="0.3">
      <c r="A399" s="24">
        <v>33950</v>
      </c>
      <c r="B399" s="21">
        <v>140650</v>
      </c>
    </row>
    <row r="400" spans="1:2" x14ac:dyDescent="0.3">
      <c r="A400" s="24">
        <v>34300</v>
      </c>
      <c r="B400" s="21">
        <v>53900</v>
      </c>
    </row>
    <row r="401" spans="1:2" x14ac:dyDescent="0.3">
      <c r="A401" s="24">
        <v>34437.5</v>
      </c>
      <c r="B401" s="21">
        <v>-20662.5</v>
      </c>
    </row>
    <row r="402" spans="1:2" x14ac:dyDescent="0.3">
      <c r="A402" s="24">
        <v>34515</v>
      </c>
      <c r="B402" s="21">
        <v>80535</v>
      </c>
    </row>
    <row r="403" spans="1:2" x14ac:dyDescent="0.3">
      <c r="A403" s="24">
        <v>34962.5</v>
      </c>
      <c r="B403" s="21">
        <v>-41955</v>
      </c>
    </row>
    <row r="404" spans="1:2" x14ac:dyDescent="0.3">
      <c r="A404" s="24">
        <v>35925</v>
      </c>
      <c r="B404" s="21">
        <v>-26345</v>
      </c>
    </row>
    <row r="405" spans="1:2" x14ac:dyDescent="0.3">
      <c r="A405" s="24">
        <v>36045</v>
      </c>
      <c r="B405" s="21">
        <v>4005</v>
      </c>
    </row>
    <row r="406" spans="1:2" x14ac:dyDescent="0.3">
      <c r="A406" s="24">
        <v>36315</v>
      </c>
      <c r="B406" s="21">
        <v>4035</v>
      </c>
    </row>
    <row r="407" spans="1:2" x14ac:dyDescent="0.3">
      <c r="A407" s="24">
        <v>36517.5</v>
      </c>
      <c r="B407" s="21">
        <v>85207.5</v>
      </c>
    </row>
    <row r="408" spans="1:2" x14ac:dyDescent="0.3">
      <c r="A408" s="24">
        <v>36630</v>
      </c>
      <c r="B408" s="21">
        <v>48840</v>
      </c>
    </row>
    <row r="409" spans="1:2" x14ac:dyDescent="0.3">
      <c r="A409" s="24">
        <v>36750</v>
      </c>
      <c r="B409" s="21">
        <v>26250</v>
      </c>
    </row>
    <row r="410" spans="1:2" x14ac:dyDescent="0.3">
      <c r="A410" s="24">
        <v>37117.5</v>
      </c>
      <c r="B410" s="21">
        <v>26512.5</v>
      </c>
    </row>
    <row r="411" spans="1:2" x14ac:dyDescent="0.3">
      <c r="A411" s="24">
        <v>37400</v>
      </c>
      <c r="B411" s="21">
        <v>-22440</v>
      </c>
    </row>
    <row r="412" spans="1:2" x14ac:dyDescent="0.3">
      <c r="A412" s="24">
        <v>37470</v>
      </c>
      <c r="B412" s="21">
        <v>87430</v>
      </c>
    </row>
    <row r="413" spans="1:2" x14ac:dyDescent="0.3">
      <c r="A413" s="24">
        <v>37500</v>
      </c>
      <c r="B413" s="21">
        <v>50000</v>
      </c>
    </row>
    <row r="414" spans="1:2" x14ac:dyDescent="0.3">
      <c r="A414" s="24">
        <v>37712.5</v>
      </c>
      <c r="B414" s="21">
        <v>312475</v>
      </c>
    </row>
    <row r="415" spans="1:2" x14ac:dyDescent="0.3">
      <c r="A415" s="24">
        <v>38097.5</v>
      </c>
      <c r="B415" s="21">
        <v>315665</v>
      </c>
    </row>
    <row r="416" spans="1:2" x14ac:dyDescent="0.3">
      <c r="A416" s="24">
        <v>38385</v>
      </c>
      <c r="B416" s="21">
        <v>8530</v>
      </c>
    </row>
    <row r="417" spans="1:2" x14ac:dyDescent="0.3">
      <c r="A417" s="24">
        <v>38490</v>
      </c>
      <c r="B417" s="21">
        <v>25660</v>
      </c>
    </row>
    <row r="418" spans="1:2" x14ac:dyDescent="0.3">
      <c r="A418" s="24">
        <v>39285</v>
      </c>
      <c r="B418" s="21">
        <v>4365</v>
      </c>
    </row>
    <row r="419" spans="1:2" x14ac:dyDescent="0.3">
      <c r="A419" s="24">
        <v>39720</v>
      </c>
      <c r="B419" s="21">
        <v>26480</v>
      </c>
    </row>
    <row r="420" spans="1:2" x14ac:dyDescent="0.3">
      <c r="A420" s="24">
        <v>39960</v>
      </c>
      <c r="B420" s="21">
        <v>4440</v>
      </c>
    </row>
    <row r="421" spans="1:2" x14ac:dyDescent="0.3">
      <c r="A421" s="24">
        <v>40215</v>
      </c>
      <c r="B421" s="21">
        <v>28725</v>
      </c>
    </row>
    <row r="422" spans="1:2" x14ac:dyDescent="0.3">
      <c r="A422" s="24">
        <v>40425</v>
      </c>
      <c r="B422" s="21">
        <v>-59290</v>
      </c>
    </row>
    <row r="423" spans="1:2" x14ac:dyDescent="0.3">
      <c r="A423" s="24">
        <v>41160</v>
      </c>
      <c r="B423" s="21">
        <v>54880</v>
      </c>
    </row>
    <row r="424" spans="1:2" x14ac:dyDescent="0.3">
      <c r="A424" s="24">
        <v>41580</v>
      </c>
      <c r="B424" s="21">
        <v>29700</v>
      </c>
    </row>
    <row r="425" spans="1:2" x14ac:dyDescent="0.3">
      <c r="A425" s="24">
        <v>42120</v>
      </c>
      <c r="B425" s="21">
        <v>28080</v>
      </c>
    </row>
    <row r="426" spans="1:2" x14ac:dyDescent="0.3">
      <c r="A426" s="24">
        <v>42660</v>
      </c>
      <c r="B426" s="21">
        <v>99540</v>
      </c>
    </row>
    <row r="427" spans="1:2" x14ac:dyDescent="0.3">
      <c r="A427" s="24">
        <v>42980</v>
      </c>
      <c r="B427" s="21">
        <v>135080</v>
      </c>
    </row>
    <row r="428" spans="1:2" x14ac:dyDescent="0.3">
      <c r="A428" s="24">
        <v>43575</v>
      </c>
      <c r="B428" s="21">
        <v>101675</v>
      </c>
    </row>
    <row r="429" spans="1:2" x14ac:dyDescent="0.3">
      <c r="A429" s="24">
        <v>43770</v>
      </c>
      <c r="B429" s="21">
        <v>102130</v>
      </c>
    </row>
    <row r="430" spans="1:2" x14ac:dyDescent="0.3">
      <c r="A430" s="24">
        <v>43912.5</v>
      </c>
      <c r="B430" s="21">
        <v>-26347.5</v>
      </c>
    </row>
    <row r="431" spans="1:2" x14ac:dyDescent="0.3">
      <c r="A431" s="24">
        <v>44415</v>
      </c>
      <c r="B431" s="21">
        <v>139590</v>
      </c>
    </row>
    <row r="432" spans="1:2" x14ac:dyDescent="0.3">
      <c r="A432" s="24">
        <v>44756.25</v>
      </c>
      <c r="B432" s="21">
        <v>-32821.25</v>
      </c>
    </row>
    <row r="433" spans="1:2" x14ac:dyDescent="0.3">
      <c r="A433" s="24">
        <v>45300</v>
      </c>
      <c r="B433" s="21">
        <v>-33220</v>
      </c>
    </row>
    <row r="434" spans="1:2" x14ac:dyDescent="0.3">
      <c r="A434" s="24">
        <v>45337.5</v>
      </c>
      <c r="B434" s="21">
        <v>-27202.5</v>
      </c>
    </row>
    <row r="435" spans="1:2" x14ac:dyDescent="0.3">
      <c r="A435" s="24">
        <v>45450</v>
      </c>
      <c r="B435" s="21">
        <v>10100</v>
      </c>
    </row>
    <row r="436" spans="1:2" x14ac:dyDescent="0.3">
      <c r="A436" s="24">
        <v>45712.5</v>
      </c>
      <c r="B436" s="21">
        <v>-33522.5</v>
      </c>
    </row>
    <row r="437" spans="1:2" x14ac:dyDescent="0.3">
      <c r="A437" s="24">
        <v>45745</v>
      </c>
      <c r="B437" s="21">
        <v>71885</v>
      </c>
    </row>
    <row r="438" spans="1:2" x14ac:dyDescent="0.3">
      <c r="A438" s="24">
        <v>45768.75</v>
      </c>
      <c r="B438" s="21">
        <v>-67127.5</v>
      </c>
    </row>
    <row r="439" spans="1:2" x14ac:dyDescent="0.3">
      <c r="A439" s="24">
        <v>46515</v>
      </c>
      <c r="B439" s="21">
        <v>66450</v>
      </c>
    </row>
    <row r="440" spans="1:2" x14ac:dyDescent="0.3">
      <c r="A440" s="24">
        <v>46860</v>
      </c>
      <c r="B440" s="21">
        <v>31240</v>
      </c>
    </row>
    <row r="441" spans="1:2" x14ac:dyDescent="0.3">
      <c r="A441" s="24">
        <v>47250</v>
      </c>
      <c r="B441" s="21">
        <v>74250</v>
      </c>
    </row>
    <row r="442" spans="1:2" x14ac:dyDescent="0.3">
      <c r="A442" s="24">
        <v>47302.5</v>
      </c>
      <c r="B442" s="21">
        <v>74332.5</v>
      </c>
    </row>
    <row r="443" spans="1:2" x14ac:dyDescent="0.3">
      <c r="A443" s="24">
        <v>47418.75</v>
      </c>
      <c r="B443" s="21">
        <v>-34773.75</v>
      </c>
    </row>
    <row r="444" spans="1:2" x14ac:dyDescent="0.3">
      <c r="A444" s="24">
        <v>47670</v>
      </c>
      <c r="B444" s="21">
        <v>149820</v>
      </c>
    </row>
    <row r="445" spans="1:2" x14ac:dyDescent="0.3">
      <c r="A445" s="24">
        <v>48210</v>
      </c>
      <c r="B445" s="21">
        <v>32140</v>
      </c>
    </row>
    <row r="446" spans="1:2" x14ac:dyDescent="0.3">
      <c r="A446" s="24">
        <v>48457.5</v>
      </c>
      <c r="B446" s="21">
        <v>110760</v>
      </c>
    </row>
    <row r="447" spans="1:2" x14ac:dyDescent="0.3">
      <c r="A447" s="24">
        <v>49770</v>
      </c>
      <c r="B447" s="21">
        <v>33180</v>
      </c>
    </row>
    <row r="448" spans="1:2" x14ac:dyDescent="0.3">
      <c r="A448" s="24">
        <v>49910</v>
      </c>
      <c r="B448" s="21">
        <v>413540</v>
      </c>
    </row>
    <row r="449" spans="1:2" x14ac:dyDescent="0.3">
      <c r="A449" s="24">
        <v>50347.5</v>
      </c>
      <c r="B449" s="21">
        <v>417165</v>
      </c>
    </row>
    <row r="450" spans="1:2" x14ac:dyDescent="0.3">
      <c r="A450" s="24">
        <v>51060</v>
      </c>
      <c r="B450" s="21">
        <v>34040</v>
      </c>
    </row>
    <row r="451" spans="1:2" x14ac:dyDescent="0.3">
      <c r="A451" s="24">
        <v>51100</v>
      </c>
      <c r="B451" s="21">
        <v>80300</v>
      </c>
    </row>
    <row r="452" spans="1:2" x14ac:dyDescent="0.3">
      <c r="A452" s="24">
        <v>51581.25</v>
      </c>
      <c r="B452" s="21">
        <v>36843.75</v>
      </c>
    </row>
    <row r="453" spans="1:2" x14ac:dyDescent="0.3">
      <c r="A453" s="24">
        <v>51765</v>
      </c>
      <c r="B453" s="21">
        <v>73950</v>
      </c>
    </row>
    <row r="454" spans="1:2" x14ac:dyDescent="0.3">
      <c r="A454" s="24">
        <v>51881.25</v>
      </c>
      <c r="B454" s="21">
        <v>-38046.25</v>
      </c>
    </row>
    <row r="455" spans="1:2" x14ac:dyDescent="0.3">
      <c r="A455" s="24">
        <v>51905</v>
      </c>
      <c r="B455" s="21">
        <v>430070</v>
      </c>
    </row>
    <row r="456" spans="1:2" x14ac:dyDescent="0.3">
      <c r="A456" s="24">
        <v>52360</v>
      </c>
      <c r="B456" s="21">
        <v>164560</v>
      </c>
    </row>
    <row r="457" spans="1:2" x14ac:dyDescent="0.3">
      <c r="A457" s="24">
        <v>52893.75</v>
      </c>
      <c r="B457" s="21">
        <v>-38788.75</v>
      </c>
    </row>
    <row r="458" spans="1:2" x14ac:dyDescent="0.3">
      <c r="A458" s="24">
        <v>53325</v>
      </c>
      <c r="B458" s="21">
        <v>-39105</v>
      </c>
    </row>
    <row r="459" spans="1:2" x14ac:dyDescent="0.3">
      <c r="A459" s="24">
        <v>53370</v>
      </c>
      <c r="B459" s="21">
        <v>5930</v>
      </c>
    </row>
    <row r="460" spans="1:2" x14ac:dyDescent="0.3">
      <c r="A460" s="24">
        <v>55387.5</v>
      </c>
      <c r="B460" s="21">
        <v>-40617.5</v>
      </c>
    </row>
    <row r="461" spans="1:2" x14ac:dyDescent="0.3">
      <c r="A461" s="24">
        <v>56010</v>
      </c>
      <c r="B461" s="21">
        <v>37340</v>
      </c>
    </row>
    <row r="462" spans="1:2" x14ac:dyDescent="0.3">
      <c r="A462" s="24">
        <v>58310</v>
      </c>
      <c r="B462" s="21">
        <v>91630</v>
      </c>
    </row>
    <row r="463" spans="1:2" x14ac:dyDescent="0.3">
      <c r="A463" s="24">
        <v>58765</v>
      </c>
      <c r="B463" s="21">
        <v>92345</v>
      </c>
    </row>
    <row r="464" spans="1:2" x14ac:dyDescent="0.3">
      <c r="A464" s="24">
        <v>59343.75</v>
      </c>
      <c r="B464" s="21">
        <v>-43518.75</v>
      </c>
    </row>
    <row r="465" spans="1:2" x14ac:dyDescent="0.3">
      <c r="A465" s="24">
        <v>60375</v>
      </c>
      <c r="B465" s="21">
        <v>250125</v>
      </c>
    </row>
    <row r="466" spans="1:2" x14ac:dyDescent="0.3">
      <c r="A466" s="24">
        <v>61155</v>
      </c>
      <c r="B466" s="21">
        <v>6795</v>
      </c>
    </row>
    <row r="467" spans="1:2" x14ac:dyDescent="0.3">
      <c r="A467" s="24">
        <v>61470</v>
      </c>
      <c r="B467" s="21">
        <v>6830</v>
      </c>
    </row>
    <row r="468" spans="1:2" x14ac:dyDescent="0.3">
      <c r="A468" s="24">
        <v>61635</v>
      </c>
      <c r="B468" s="21">
        <v>96855</v>
      </c>
    </row>
    <row r="469" spans="1:2" x14ac:dyDescent="0.3">
      <c r="A469" s="24">
        <v>61792.5</v>
      </c>
      <c r="B469" s="21">
        <v>44137.5</v>
      </c>
    </row>
    <row r="470" spans="1:2" x14ac:dyDescent="0.3">
      <c r="A470" s="24">
        <v>62842.5</v>
      </c>
      <c r="B470" s="21">
        <v>44887.5</v>
      </c>
    </row>
    <row r="471" spans="1:2" x14ac:dyDescent="0.3">
      <c r="A471" s="24">
        <v>62947.5</v>
      </c>
      <c r="B471" s="21">
        <v>44962.5</v>
      </c>
    </row>
    <row r="472" spans="1:2" x14ac:dyDescent="0.3">
      <c r="A472" s="24">
        <v>64020</v>
      </c>
      <c r="B472" s="21">
        <v>42680</v>
      </c>
    </row>
    <row r="473" spans="1:2" x14ac:dyDescent="0.3">
      <c r="A473" s="24">
        <v>64603.125</v>
      </c>
      <c r="B473" s="21">
        <v>-47375.625</v>
      </c>
    </row>
    <row r="474" spans="1:2" x14ac:dyDescent="0.3">
      <c r="A474" s="24">
        <v>65430</v>
      </c>
      <c r="B474" s="21">
        <v>87240</v>
      </c>
    </row>
    <row r="475" spans="1:2" x14ac:dyDescent="0.3">
      <c r="A475" s="24">
        <v>67252.5</v>
      </c>
      <c r="B475" s="21">
        <v>48037.5</v>
      </c>
    </row>
    <row r="476" spans="1:2" x14ac:dyDescent="0.3">
      <c r="A476" s="24">
        <v>67320</v>
      </c>
      <c r="B476" s="21">
        <v>14960</v>
      </c>
    </row>
    <row r="477" spans="1:2" x14ac:dyDescent="0.3">
      <c r="A477" s="24">
        <v>72485</v>
      </c>
      <c r="B477" s="21">
        <v>113905</v>
      </c>
    </row>
    <row r="478" spans="1:2" x14ac:dyDescent="0.3">
      <c r="A478" s="24">
        <v>72660</v>
      </c>
      <c r="B478" s="21">
        <v>228360</v>
      </c>
    </row>
    <row r="479" spans="1:2" x14ac:dyDescent="0.3">
      <c r="A479" s="24">
        <v>73080</v>
      </c>
      <c r="B479" s="21">
        <v>48720</v>
      </c>
    </row>
    <row r="480" spans="1:2" x14ac:dyDescent="0.3">
      <c r="A480" s="24">
        <v>73237.5</v>
      </c>
      <c r="B480" s="21">
        <v>52312.5</v>
      </c>
    </row>
    <row r="481" spans="1:2" x14ac:dyDescent="0.3">
      <c r="A481" s="24">
        <v>73800</v>
      </c>
      <c r="B481" s="21">
        <v>98400</v>
      </c>
    </row>
    <row r="482" spans="1:2" x14ac:dyDescent="0.3">
      <c r="A482" s="24">
        <v>75110</v>
      </c>
      <c r="B482" s="21">
        <v>118030</v>
      </c>
    </row>
    <row r="483" spans="1:2" x14ac:dyDescent="0.3">
      <c r="A483" s="24">
        <v>76950</v>
      </c>
      <c r="B483" s="21">
        <v>51300</v>
      </c>
    </row>
    <row r="484" spans="1:2" x14ac:dyDescent="0.3">
      <c r="A484" s="24">
        <v>79770</v>
      </c>
      <c r="B484" s="21">
        <v>53180</v>
      </c>
    </row>
    <row r="485" spans="1:2" x14ac:dyDescent="0.3">
      <c r="A485" s="24">
        <v>79785</v>
      </c>
      <c r="B485" s="21">
        <v>8865</v>
      </c>
    </row>
    <row r="486" spans="1:2" x14ac:dyDescent="0.3">
      <c r="A486" s="24">
        <v>82410</v>
      </c>
      <c r="B486" s="21">
        <v>54940</v>
      </c>
    </row>
    <row r="487" spans="1:2" x14ac:dyDescent="0.3">
      <c r="A487" s="24">
        <v>83685</v>
      </c>
      <c r="B487" s="21">
        <v>59775</v>
      </c>
    </row>
    <row r="488" spans="1:2" x14ac:dyDescent="0.3">
      <c r="A488" s="24">
        <v>84595</v>
      </c>
      <c r="B488" s="21">
        <v>132935</v>
      </c>
    </row>
    <row r="489" spans="1:2" x14ac:dyDescent="0.3">
      <c r="A489" s="24">
        <v>93975</v>
      </c>
      <c r="B489" s="21">
        <v>67125</v>
      </c>
    </row>
    <row r="490" spans="1:2" x14ac:dyDescent="0.3">
      <c r="A490" s="24">
        <v>96750</v>
      </c>
      <c r="B490" s="21">
        <v>10750</v>
      </c>
    </row>
    <row r="491" spans="1:2" x14ac:dyDescent="0.3">
      <c r="A491" s="24">
        <v>98175</v>
      </c>
      <c r="B491" s="21">
        <v>70125</v>
      </c>
    </row>
    <row r="492" spans="1:2" x14ac:dyDescent="0.3">
      <c r="A492" s="24">
        <v>100660</v>
      </c>
      <c r="B492" s="21">
        <v>158180</v>
      </c>
    </row>
    <row r="493" spans="1:2" x14ac:dyDescent="0.3">
      <c r="A493" s="24">
        <v>100905</v>
      </c>
      <c r="B493" s="21">
        <v>72075</v>
      </c>
    </row>
    <row r="494" spans="1:2" x14ac:dyDescent="0.3">
      <c r="A494" s="24">
        <v>103230</v>
      </c>
      <c r="B494" s="21">
        <v>22940</v>
      </c>
    </row>
    <row r="495" spans="1:2" x14ac:dyDescent="0.3">
      <c r="A495" s="24">
        <v>105367.5</v>
      </c>
      <c r="B495" s="21">
        <v>75262.5</v>
      </c>
    </row>
    <row r="496" spans="1:2" x14ac:dyDescent="0.3">
      <c r="A496" s="24">
        <v>110486.25</v>
      </c>
      <c r="B496" s="21">
        <v>78918.75</v>
      </c>
    </row>
    <row r="497" spans="1:2" x14ac:dyDescent="0.3">
      <c r="A497" s="24">
        <v>110700</v>
      </c>
      <c r="B497" s="21">
        <v>12300</v>
      </c>
    </row>
    <row r="498" spans="1:2" x14ac:dyDescent="0.3">
      <c r="A498" s="24">
        <v>111375</v>
      </c>
      <c r="B498" s="21">
        <v>12375</v>
      </c>
    </row>
    <row r="499" spans="1:2" x14ac:dyDescent="0.3">
      <c r="A499" s="24">
        <v>112927.5</v>
      </c>
      <c r="B499" s="21">
        <v>80662.5</v>
      </c>
    </row>
    <row r="500" spans="1:2" x14ac:dyDescent="0.3">
      <c r="A500" s="24">
        <v>113805</v>
      </c>
      <c r="B500" s="21">
        <v>75870</v>
      </c>
    </row>
    <row r="501" spans="1:2" x14ac:dyDescent="0.3">
      <c r="A501" s="24">
        <v>114075</v>
      </c>
      <c r="B501" s="21">
        <v>76050</v>
      </c>
    </row>
    <row r="502" spans="1:2" x14ac:dyDescent="0.3">
      <c r="A502" s="24">
        <v>114120</v>
      </c>
      <c r="B502" s="21">
        <v>12680</v>
      </c>
    </row>
    <row r="503" spans="1:2" x14ac:dyDescent="0.3">
      <c r="A503" s="24">
        <v>114345</v>
      </c>
      <c r="B503" s="21">
        <v>12705</v>
      </c>
    </row>
    <row r="504" spans="1:2" x14ac:dyDescent="0.3">
      <c r="A504" s="24">
        <v>115830</v>
      </c>
      <c r="B504" s="21">
        <v>12870</v>
      </c>
    </row>
    <row r="505" spans="1:2" x14ac:dyDescent="0.3">
      <c r="A505" s="24">
        <v>116943.75</v>
      </c>
      <c r="B505" s="21">
        <v>83531.25</v>
      </c>
    </row>
    <row r="506" spans="1:2" x14ac:dyDescent="0.3">
      <c r="A506" s="24">
        <v>117225</v>
      </c>
      <c r="B506" s="21">
        <v>13025</v>
      </c>
    </row>
    <row r="507" spans="1:2" x14ac:dyDescent="0.3">
      <c r="A507" s="24">
        <v>117600</v>
      </c>
      <c r="B507" s="21">
        <v>84000</v>
      </c>
    </row>
    <row r="508" spans="1:2" x14ac:dyDescent="0.3">
      <c r="A508" s="24">
        <v>121432.5</v>
      </c>
      <c r="B508" s="21">
        <v>86737.5</v>
      </c>
    </row>
    <row r="509" spans="1:2" x14ac:dyDescent="0.3">
      <c r="A509" s="24">
        <v>126495</v>
      </c>
      <c r="B509" s="21">
        <v>14055</v>
      </c>
    </row>
    <row r="510" spans="1:2" x14ac:dyDescent="0.3">
      <c r="A510" s="24">
        <v>134685</v>
      </c>
      <c r="B510" s="21">
        <v>14965</v>
      </c>
    </row>
    <row r="511" spans="1:2" x14ac:dyDescent="0.3">
      <c r="A511" s="24">
        <v>138180</v>
      </c>
      <c r="B511" s="21">
        <v>197400</v>
      </c>
    </row>
    <row r="512" spans="1:2" x14ac:dyDescent="0.3">
      <c r="A512" s="24">
        <v>147367.5</v>
      </c>
      <c r="B512" s="21">
        <v>105262.5</v>
      </c>
    </row>
    <row r="513" spans="1:2" x14ac:dyDescent="0.3">
      <c r="A513" s="24">
        <v>149677.5</v>
      </c>
      <c r="B513" s="21">
        <v>106912.5</v>
      </c>
    </row>
    <row r="514" spans="1:2" x14ac:dyDescent="0.3">
      <c r="A514" s="24">
        <v>157275</v>
      </c>
      <c r="B514" s="21">
        <v>17475</v>
      </c>
    </row>
    <row r="515" spans="1:2" x14ac:dyDescent="0.3">
      <c r="A515" s="24" t="s">
        <v>38</v>
      </c>
      <c r="B515" s="21">
        <v>13741453.125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B1" workbookViewId="0">
      <selection activeCell="C1" sqref="C1:L701"/>
    </sheetView>
  </sheetViews>
  <sheetFormatPr defaultColWidth="14.44140625" defaultRowHeight="15" customHeight="1" x14ac:dyDescent="0.3"/>
  <cols>
    <col min="1" max="1" width="16.33203125" customWidth="1"/>
    <col min="2" max="2" width="26.5546875" customWidth="1"/>
    <col min="3" max="3" width="14.109375" customWidth="1"/>
    <col min="4" max="4" width="17.44140625" customWidth="1"/>
    <col min="5" max="6" width="14.33203125" customWidth="1"/>
    <col min="7" max="7" width="12.5546875" customWidth="1"/>
    <col min="8" max="8" width="14.33203125" customWidth="1"/>
    <col min="9" max="9" width="12.5546875" customWidth="1"/>
    <col min="10" max="10" width="17.6640625" customWidth="1"/>
    <col min="11" max="11" width="11.5546875" customWidth="1"/>
    <col min="12" max="12" width="18.44140625" customWidth="1"/>
    <col min="13" max="13" width="11.5546875" customWidth="1"/>
    <col min="14" max="14" width="17.109375" customWidth="1"/>
    <col min="15" max="15" width="16.5546875" customWidth="1"/>
    <col min="16" max="16" width="7.5546875" customWidth="1"/>
    <col min="17" max="26" width="8.6640625" customWidth="1"/>
  </cols>
  <sheetData>
    <row r="1" spans="1:16" ht="14.4" x14ac:dyDescent="0.3">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5" t="s">
        <v>15</v>
      </c>
    </row>
    <row r="2" spans="1:16" ht="14.4" x14ac:dyDescent="0.3">
      <c r="A2" s="6" t="s">
        <v>16</v>
      </c>
      <c r="B2" s="6" t="s">
        <v>17</v>
      </c>
      <c r="C2" s="7" t="s">
        <v>18</v>
      </c>
      <c r="D2" s="7" t="s">
        <v>19</v>
      </c>
      <c r="E2" s="6">
        <v>1618.5</v>
      </c>
      <c r="F2" s="7">
        <v>3</v>
      </c>
      <c r="G2" s="7">
        <v>20</v>
      </c>
      <c r="H2" s="7">
        <f>E2*G2</f>
        <v>32370</v>
      </c>
      <c r="I2" s="7">
        <f>IF(D2="None", 0, IF(D2="Low", H2*0.05, IF(D2="Medium", H2*0.1, IF(D2="High", H2*0.15, 0))))</f>
        <v>0</v>
      </c>
      <c r="J2" s="7">
        <f>H2-I2</f>
        <v>32370</v>
      </c>
      <c r="K2" s="7">
        <v>16185</v>
      </c>
      <c r="L2" s="7">
        <f>J2-K2</f>
        <v>16185</v>
      </c>
      <c r="M2" s="8">
        <v>41640</v>
      </c>
      <c r="N2" s="9"/>
      <c r="O2" s="7"/>
      <c r="P2" s="10"/>
    </row>
    <row r="3" spans="1:16" ht="14.4" x14ac:dyDescent="0.3">
      <c r="A3" s="11" t="s">
        <v>16</v>
      </c>
      <c r="B3" s="11" t="s">
        <v>20</v>
      </c>
      <c r="C3" s="12" t="s">
        <v>18</v>
      </c>
      <c r="D3" s="12" t="s">
        <v>19</v>
      </c>
      <c r="E3" s="11">
        <v>1321</v>
      </c>
      <c r="F3" s="12">
        <v>3</v>
      </c>
      <c r="G3" s="12">
        <v>20</v>
      </c>
      <c r="H3" s="12">
        <f>E3*G3</f>
        <v>26420</v>
      </c>
      <c r="I3" s="7">
        <f t="shared" ref="I3:I66" si="0">IF(D3="None", 0, IF(D3="Low", H3*0.05, IF(D3="Medium", H3*0.1, IF(D3="High", H3*0.15, 0))))</f>
        <v>0</v>
      </c>
      <c r="J3" s="7">
        <f t="shared" ref="J3:J66" si="1">H3-I3</f>
        <v>26420</v>
      </c>
      <c r="K3" s="12">
        <v>13210</v>
      </c>
      <c r="L3" s="12">
        <f>J3-K3</f>
        <v>13210</v>
      </c>
      <c r="M3" s="13">
        <v>41640</v>
      </c>
      <c r="N3" s="14"/>
      <c r="O3" s="12"/>
      <c r="P3" s="15"/>
    </row>
    <row r="4" spans="1:16" ht="14.4" x14ac:dyDescent="0.3">
      <c r="A4" s="6" t="s">
        <v>21</v>
      </c>
      <c r="B4" s="6" t="s">
        <v>22</v>
      </c>
      <c r="C4" s="7" t="s">
        <v>18</v>
      </c>
      <c r="D4" s="7" t="s">
        <v>19</v>
      </c>
      <c r="E4" s="6">
        <v>2178</v>
      </c>
      <c r="F4" s="7">
        <v>3</v>
      </c>
      <c r="G4" s="7">
        <v>15</v>
      </c>
      <c r="H4" s="7">
        <f>E4*G4</f>
        <v>32670</v>
      </c>
      <c r="I4" s="7">
        <f t="shared" si="0"/>
        <v>0</v>
      </c>
      <c r="J4" s="7">
        <f t="shared" si="1"/>
        <v>32670</v>
      </c>
      <c r="K4" s="7">
        <v>21780</v>
      </c>
      <c r="L4" s="12">
        <f t="shared" ref="L4:L67" si="2">J4-K4</f>
        <v>10890</v>
      </c>
      <c r="M4" s="8">
        <v>41791</v>
      </c>
      <c r="N4" s="9"/>
      <c r="O4" s="7"/>
      <c r="P4" s="10"/>
    </row>
    <row r="5" spans="1:16" ht="14.4" x14ac:dyDescent="0.3">
      <c r="A5" s="11" t="s">
        <v>21</v>
      </c>
      <c r="B5" s="11" t="s">
        <v>20</v>
      </c>
      <c r="C5" s="12" t="s">
        <v>18</v>
      </c>
      <c r="D5" s="12" t="s">
        <v>19</v>
      </c>
      <c r="E5" s="11">
        <v>888</v>
      </c>
      <c r="F5" s="12">
        <v>3</v>
      </c>
      <c r="G5" s="12">
        <v>15</v>
      </c>
      <c r="H5" s="7">
        <f t="shared" ref="H5:H68" si="3">E5*G5</f>
        <v>13320</v>
      </c>
      <c r="I5" s="7">
        <f t="shared" si="0"/>
        <v>0</v>
      </c>
      <c r="J5" s="7">
        <f t="shared" si="1"/>
        <v>13320</v>
      </c>
      <c r="K5" s="12">
        <v>8880</v>
      </c>
      <c r="L5" s="12">
        <f t="shared" si="2"/>
        <v>4440</v>
      </c>
      <c r="M5" s="13">
        <v>41791</v>
      </c>
      <c r="N5" s="14"/>
      <c r="O5" s="12"/>
      <c r="P5" s="15"/>
    </row>
    <row r="6" spans="1:16" ht="14.4" x14ac:dyDescent="0.3">
      <c r="A6" s="6" t="s">
        <v>21</v>
      </c>
      <c r="B6" s="6" t="s">
        <v>23</v>
      </c>
      <c r="C6" s="7" t="s">
        <v>18</v>
      </c>
      <c r="D6" s="7" t="s">
        <v>19</v>
      </c>
      <c r="E6" s="6">
        <v>2470</v>
      </c>
      <c r="F6" s="7">
        <v>3</v>
      </c>
      <c r="G6" s="7">
        <v>15</v>
      </c>
      <c r="H6" s="7">
        <f t="shared" si="3"/>
        <v>37050</v>
      </c>
      <c r="I6" s="7">
        <f t="shared" si="0"/>
        <v>0</v>
      </c>
      <c r="J6" s="7">
        <f t="shared" si="1"/>
        <v>37050</v>
      </c>
      <c r="K6" s="7">
        <v>24700</v>
      </c>
      <c r="L6" s="12">
        <f t="shared" si="2"/>
        <v>12350</v>
      </c>
      <c r="M6" s="8">
        <v>41791</v>
      </c>
      <c r="N6" s="9"/>
      <c r="O6" s="7"/>
      <c r="P6" s="10"/>
    </row>
    <row r="7" spans="1:16" ht="14.4" x14ac:dyDescent="0.3">
      <c r="A7" s="11" t="s">
        <v>16</v>
      </c>
      <c r="B7" s="11" t="s">
        <v>20</v>
      </c>
      <c r="C7" s="12" t="s">
        <v>18</v>
      </c>
      <c r="D7" s="12" t="s">
        <v>19</v>
      </c>
      <c r="E7" s="11">
        <v>1513</v>
      </c>
      <c r="F7" s="12">
        <v>3</v>
      </c>
      <c r="G7" s="12">
        <v>350</v>
      </c>
      <c r="H7" s="7">
        <f t="shared" si="3"/>
        <v>529550</v>
      </c>
      <c r="I7" s="7">
        <f t="shared" si="0"/>
        <v>0</v>
      </c>
      <c r="J7" s="7">
        <f t="shared" si="1"/>
        <v>529550</v>
      </c>
      <c r="K7" s="12">
        <v>393380</v>
      </c>
      <c r="L7" s="12">
        <f t="shared" si="2"/>
        <v>136170</v>
      </c>
      <c r="M7" s="13">
        <v>41974</v>
      </c>
      <c r="N7" s="14"/>
      <c r="O7" s="12"/>
      <c r="P7" s="15"/>
    </row>
    <row r="8" spans="1:16" ht="14.4" x14ac:dyDescent="0.3">
      <c r="A8" s="6" t="s">
        <v>21</v>
      </c>
      <c r="B8" s="6" t="s">
        <v>20</v>
      </c>
      <c r="C8" s="7" t="s">
        <v>24</v>
      </c>
      <c r="D8" s="7" t="s">
        <v>19</v>
      </c>
      <c r="E8" s="6">
        <v>921</v>
      </c>
      <c r="F8" s="7">
        <v>5</v>
      </c>
      <c r="G8" s="7">
        <v>15</v>
      </c>
      <c r="H8" s="7">
        <f t="shared" si="3"/>
        <v>13815</v>
      </c>
      <c r="I8" s="7">
        <f t="shared" si="0"/>
        <v>0</v>
      </c>
      <c r="J8" s="7">
        <f t="shared" si="1"/>
        <v>13815</v>
      </c>
      <c r="K8" s="7">
        <v>9210</v>
      </c>
      <c r="L8" s="12">
        <f t="shared" si="2"/>
        <v>4605</v>
      </c>
      <c r="M8" s="8">
        <v>41699</v>
      </c>
      <c r="N8" s="9"/>
      <c r="O8" s="7"/>
      <c r="P8" s="10"/>
    </row>
    <row r="9" spans="1:16" ht="14.4" x14ac:dyDescent="0.3">
      <c r="A9" s="11" t="s">
        <v>25</v>
      </c>
      <c r="B9" s="11" t="s">
        <v>17</v>
      </c>
      <c r="C9" s="12" t="s">
        <v>24</v>
      </c>
      <c r="D9" s="12" t="s">
        <v>19</v>
      </c>
      <c r="E9" s="11">
        <v>2518</v>
      </c>
      <c r="F9" s="12">
        <v>5</v>
      </c>
      <c r="G9" s="12">
        <v>12</v>
      </c>
      <c r="H9" s="7">
        <f t="shared" si="3"/>
        <v>30216</v>
      </c>
      <c r="I9" s="7">
        <f t="shared" si="0"/>
        <v>0</v>
      </c>
      <c r="J9" s="7">
        <f t="shared" si="1"/>
        <v>30216</v>
      </c>
      <c r="K9" s="12">
        <v>7554</v>
      </c>
      <c r="L9" s="12">
        <f t="shared" si="2"/>
        <v>22662</v>
      </c>
      <c r="M9" s="13">
        <v>41791</v>
      </c>
      <c r="N9" s="14"/>
      <c r="O9" s="12"/>
      <c r="P9" s="15"/>
    </row>
    <row r="10" spans="1:16" ht="14.4" x14ac:dyDescent="0.3">
      <c r="A10" s="6" t="s">
        <v>16</v>
      </c>
      <c r="B10" s="6" t="s">
        <v>22</v>
      </c>
      <c r="C10" s="7" t="s">
        <v>24</v>
      </c>
      <c r="D10" s="7" t="s">
        <v>19</v>
      </c>
      <c r="E10" s="6">
        <v>1899</v>
      </c>
      <c r="F10" s="7">
        <v>5</v>
      </c>
      <c r="G10" s="7">
        <v>20</v>
      </c>
      <c r="H10" s="7">
        <f t="shared" si="3"/>
        <v>37980</v>
      </c>
      <c r="I10" s="7">
        <f t="shared" si="0"/>
        <v>0</v>
      </c>
      <c r="J10" s="7">
        <f t="shared" si="1"/>
        <v>37980</v>
      </c>
      <c r="K10" s="7">
        <v>18990</v>
      </c>
      <c r="L10" s="12">
        <f t="shared" si="2"/>
        <v>18990</v>
      </c>
      <c r="M10" s="8">
        <v>41791</v>
      </c>
      <c r="N10" s="9"/>
      <c r="O10" s="7"/>
      <c r="P10" s="10"/>
    </row>
    <row r="11" spans="1:16" ht="14.4" x14ac:dyDescent="0.3">
      <c r="A11" s="11" t="s">
        <v>25</v>
      </c>
      <c r="B11" s="11" t="s">
        <v>20</v>
      </c>
      <c r="C11" s="12" t="s">
        <v>24</v>
      </c>
      <c r="D11" s="12" t="s">
        <v>19</v>
      </c>
      <c r="E11" s="11">
        <v>1545</v>
      </c>
      <c r="F11" s="12">
        <v>5</v>
      </c>
      <c r="G11" s="12">
        <v>12</v>
      </c>
      <c r="H11" s="7">
        <f t="shared" si="3"/>
        <v>18540</v>
      </c>
      <c r="I11" s="7">
        <f t="shared" si="0"/>
        <v>0</v>
      </c>
      <c r="J11" s="7">
        <f t="shared" si="1"/>
        <v>18540</v>
      </c>
      <c r="K11" s="12">
        <v>4635</v>
      </c>
      <c r="L11" s="12">
        <f t="shared" si="2"/>
        <v>13905</v>
      </c>
      <c r="M11" s="13">
        <v>41791</v>
      </c>
      <c r="N11" s="14"/>
      <c r="O11" s="12"/>
      <c r="P11" s="15"/>
    </row>
    <row r="12" spans="1:16" ht="14.4" x14ac:dyDescent="0.3">
      <c r="A12" s="6" t="s">
        <v>21</v>
      </c>
      <c r="B12" s="6" t="s">
        <v>23</v>
      </c>
      <c r="C12" s="7" t="s">
        <v>24</v>
      </c>
      <c r="D12" s="7" t="s">
        <v>19</v>
      </c>
      <c r="E12" s="6">
        <v>2470</v>
      </c>
      <c r="F12" s="7">
        <v>5</v>
      </c>
      <c r="G12" s="7">
        <v>15</v>
      </c>
      <c r="H12" s="7">
        <f t="shared" si="3"/>
        <v>37050</v>
      </c>
      <c r="I12" s="7">
        <f t="shared" si="0"/>
        <v>0</v>
      </c>
      <c r="J12" s="7">
        <f t="shared" si="1"/>
        <v>37050</v>
      </c>
      <c r="K12" s="7">
        <v>24700</v>
      </c>
      <c r="L12" s="12">
        <f t="shared" si="2"/>
        <v>12350</v>
      </c>
      <c r="M12" s="8">
        <v>41791</v>
      </c>
      <c r="N12" s="9"/>
      <c r="O12" s="7"/>
      <c r="P12" s="10"/>
    </row>
    <row r="13" spans="1:16" ht="14.4" x14ac:dyDescent="0.3">
      <c r="A13" s="11" t="s">
        <v>26</v>
      </c>
      <c r="B13" s="11" t="s">
        <v>17</v>
      </c>
      <c r="C13" s="12" t="s">
        <v>24</v>
      </c>
      <c r="D13" s="12" t="s">
        <v>19</v>
      </c>
      <c r="E13" s="11">
        <v>2665.5</v>
      </c>
      <c r="F13" s="12">
        <v>5</v>
      </c>
      <c r="G13" s="12">
        <v>125</v>
      </c>
      <c r="H13" s="7">
        <f t="shared" si="3"/>
        <v>333187.5</v>
      </c>
      <c r="I13" s="7">
        <f t="shared" si="0"/>
        <v>0</v>
      </c>
      <c r="J13" s="7">
        <f t="shared" si="1"/>
        <v>333187.5</v>
      </c>
      <c r="K13" s="12">
        <v>319860</v>
      </c>
      <c r="L13" s="12">
        <f t="shared" si="2"/>
        <v>13327.5</v>
      </c>
      <c r="M13" s="13">
        <v>41821</v>
      </c>
      <c r="N13" s="14"/>
      <c r="O13" s="12"/>
      <c r="P13" s="15"/>
    </row>
    <row r="14" spans="1:16" ht="14.4" x14ac:dyDescent="0.3">
      <c r="A14" s="6" t="s">
        <v>27</v>
      </c>
      <c r="B14" s="6" t="s">
        <v>23</v>
      </c>
      <c r="C14" s="7" t="s">
        <v>24</v>
      </c>
      <c r="D14" s="7" t="s">
        <v>19</v>
      </c>
      <c r="E14" s="6">
        <v>958</v>
      </c>
      <c r="F14" s="7">
        <v>5</v>
      </c>
      <c r="G14" s="7">
        <v>300</v>
      </c>
      <c r="H14" s="7">
        <f t="shared" si="3"/>
        <v>287400</v>
      </c>
      <c r="I14" s="7">
        <f t="shared" si="0"/>
        <v>0</v>
      </c>
      <c r="J14" s="7">
        <f t="shared" si="1"/>
        <v>287400</v>
      </c>
      <c r="K14" s="7">
        <v>239500</v>
      </c>
      <c r="L14" s="12">
        <f t="shared" si="2"/>
        <v>47900</v>
      </c>
      <c r="M14" s="8">
        <v>41852</v>
      </c>
      <c r="N14" s="9"/>
      <c r="O14" s="7"/>
      <c r="P14" s="10"/>
    </row>
    <row r="15" spans="1:16" ht="14.4" x14ac:dyDescent="0.3">
      <c r="A15" s="11" t="s">
        <v>16</v>
      </c>
      <c r="B15" s="11" t="s">
        <v>20</v>
      </c>
      <c r="C15" s="12" t="s">
        <v>24</v>
      </c>
      <c r="D15" s="12" t="s">
        <v>19</v>
      </c>
      <c r="E15" s="11">
        <v>2146</v>
      </c>
      <c r="F15" s="12">
        <v>5</v>
      </c>
      <c r="G15" s="12">
        <v>7</v>
      </c>
      <c r="H15" s="7">
        <f t="shared" si="3"/>
        <v>15022</v>
      </c>
      <c r="I15" s="7">
        <f t="shared" si="0"/>
        <v>0</v>
      </c>
      <c r="J15" s="7">
        <f t="shared" si="1"/>
        <v>15022</v>
      </c>
      <c r="K15" s="12">
        <v>10730</v>
      </c>
      <c r="L15" s="12">
        <f t="shared" si="2"/>
        <v>4292</v>
      </c>
      <c r="M15" s="13">
        <v>41883</v>
      </c>
      <c r="N15" s="14"/>
      <c r="O15" s="12"/>
      <c r="P15" s="15"/>
    </row>
    <row r="16" spans="1:16" ht="14.4" x14ac:dyDescent="0.3">
      <c r="A16" s="6" t="s">
        <v>26</v>
      </c>
      <c r="B16" s="6" t="s">
        <v>17</v>
      </c>
      <c r="C16" s="7" t="s">
        <v>24</v>
      </c>
      <c r="D16" s="7" t="s">
        <v>19</v>
      </c>
      <c r="E16" s="6">
        <v>345</v>
      </c>
      <c r="F16" s="7">
        <v>5</v>
      </c>
      <c r="G16" s="7">
        <v>125</v>
      </c>
      <c r="H16" s="7">
        <f t="shared" si="3"/>
        <v>43125</v>
      </c>
      <c r="I16" s="7">
        <f t="shared" si="0"/>
        <v>0</v>
      </c>
      <c r="J16" s="7">
        <f t="shared" si="1"/>
        <v>43125</v>
      </c>
      <c r="K16" s="7">
        <v>41400</v>
      </c>
      <c r="L16" s="12">
        <f t="shared" si="2"/>
        <v>1725</v>
      </c>
      <c r="M16" s="8">
        <v>41548</v>
      </c>
      <c r="N16" s="9"/>
      <c r="O16" s="7"/>
      <c r="P16" s="10"/>
    </row>
    <row r="17" spans="1:16" ht="14.4" x14ac:dyDescent="0.3">
      <c r="A17" s="11" t="s">
        <v>21</v>
      </c>
      <c r="B17" s="11" t="s">
        <v>28</v>
      </c>
      <c r="C17" s="12" t="s">
        <v>24</v>
      </c>
      <c r="D17" s="12" t="s">
        <v>19</v>
      </c>
      <c r="E17" s="11">
        <v>615</v>
      </c>
      <c r="F17" s="12">
        <v>5</v>
      </c>
      <c r="G17" s="12">
        <v>15</v>
      </c>
      <c r="H17" s="7">
        <f t="shared" si="3"/>
        <v>9225</v>
      </c>
      <c r="I17" s="7">
        <f t="shared" si="0"/>
        <v>0</v>
      </c>
      <c r="J17" s="7">
        <f t="shared" si="1"/>
        <v>9225</v>
      </c>
      <c r="K17" s="12">
        <v>6150</v>
      </c>
      <c r="L17" s="12">
        <f t="shared" si="2"/>
        <v>3075</v>
      </c>
      <c r="M17" s="13">
        <v>41974</v>
      </c>
      <c r="N17" s="14"/>
      <c r="O17" s="12"/>
      <c r="P17" s="15"/>
    </row>
    <row r="18" spans="1:16" ht="14.4" x14ac:dyDescent="0.3">
      <c r="A18" s="6" t="s">
        <v>16</v>
      </c>
      <c r="B18" s="6" t="s">
        <v>17</v>
      </c>
      <c r="C18" s="7" t="s">
        <v>29</v>
      </c>
      <c r="D18" s="7" t="s">
        <v>19</v>
      </c>
      <c r="E18" s="6">
        <v>292</v>
      </c>
      <c r="F18" s="7">
        <v>10</v>
      </c>
      <c r="G18" s="7">
        <v>20</v>
      </c>
      <c r="H18" s="7">
        <f t="shared" si="3"/>
        <v>5840</v>
      </c>
      <c r="I18" s="7">
        <f t="shared" si="0"/>
        <v>0</v>
      </c>
      <c r="J18" s="7">
        <f t="shared" si="1"/>
        <v>5840</v>
      </c>
      <c r="K18" s="7">
        <v>2920</v>
      </c>
      <c r="L18" s="12">
        <f t="shared" si="2"/>
        <v>2920</v>
      </c>
      <c r="M18" s="8">
        <v>41671</v>
      </c>
      <c r="N18" s="9"/>
      <c r="O18" s="7"/>
      <c r="P18" s="10"/>
    </row>
    <row r="19" spans="1:16" ht="14.4" x14ac:dyDescent="0.3">
      <c r="A19" s="11" t="s">
        <v>21</v>
      </c>
      <c r="B19" s="11" t="s">
        <v>23</v>
      </c>
      <c r="C19" s="12" t="s">
        <v>29</v>
      </c>
      <c r="D19" s="12" t="s">
        <v>19</v>
      </c>
      <c r="E19" s="11">
        <v>974</v>
      </c>
      <c r="F19" s="12">
        <v>10</v>
      </c>
      <c r="G19" s="12">
        <v>15</v>
      </c>
      <c r="H19" s="7">
        <f t="shared" si="3"/>
        <v>14610</v>
      </c>
      <c r="I19" s="7">
        <f t="shared" si="0"/>
        <v>0</v>
      </c>
      <c r="J19" s="7">
        <f t="shared" si="1"/>
        <v>14610</v>
      </c>
      <c r="K19" s="12">
        <v>9740</v>
      </c>
      <c r="L19" s="12">
        <f t="shared" si="2"/>
        <v>4870</v>
      </c>
      <c r="M19" s="13">
        <v>41671</v>
      </c>
      <c r="N19" s="14"/>
      <c r="O19" s="12"/>
      <c r="P19" s="15"/>
    </row>
    <row r="20" spans="1:16" ht="14.4" x14ac:dyDescent="0.3">
      <c r="A20" s="6" t="s">
        <v>25</v>
      </c>
      <c r="B20" s="6" t="s">
        <v>17</v>
      </c>
      <c r="C20" s="7" t="s">
        <v>29</v>
      </c>
      <c r="D20" s="7" t="s">
        <v>19</v>
      </c>
      <c r="E20" s="6">
        <v>2518</v>
      </c>
      <c r="F20" s="7">
        <v>10</v>
      </c>
      <c r="G20" s="7">
        <v>12</v>
      </c>
      <c r="H20" s="7">
        <f t="shared" si="3"/>
        <v>30216</v>
      </c>
      <c r="I20" s="7">
        <f t="shared" si="0"/>
        <v>0</v>
      </c>
      <c r="J20" s="7">
        <f t="shared" si="1"/>
        <v>30216</v>
      </c>
      <c r="K20" s="7">
        <v>7554</v>
      </c>
      <c r="L20" s="12">
        <f t="shared" si="2"/>
        <v>22662</v>
      </c>
      <c r="M20" s="8">
        <v>41791</v>
      </c>
      <c r="N20" s="9"/>
      <c r="O20" s="7"/>
      <c r="P20" s="10"/>
    </row>
    <row r="21" spans="1:16" ht="15.75" customHeight="1" x14ac:dyDescent="0.3">
      <c r="A21" s="11" t="s">
        <v>16</v>
      </c>
      <c r="B21" s="11" t="s">
        <v>20</v>
      </c>
      <c r="C21" s="12" t="s">
        <v>29</v>
      </c>
      <c r="D21" s="12" t="s">
        <v>19</v>
      </c>
      <c r="E21" s="11">
        <v>1006</v>
      </c>
      <c r="F21" s="12">
        <v>10</v>
      </c>
      <c r="G21" s="12">
        <v>350</v>
      </c>
      <c r="H21" s="7">
        <f t="shared" si="3"/>
        <v>352100</v>
      </c>
      <c r="I21" s="7">
        <f t="shared" si="0"/>
        <v>0</v>
      </c>
      <c r="J21" s="7">
        <f t="shared" si="1"/>
        <v>352100</v>
      </c>
      <c r="K21" s="12">
        <v>261560</v>
      </c>
      <c r="L21" s="12">
        <f t="shared" si="2"/>
        <v>90540</v>
      </c>
      <c r="M21" s="13">
        <v>41791</v>
      </c>
      <c r="N21" s="14"/>
      <c r="O21" s="12"/>
      <c r="P21" s="15"/>
    </row>
    <row r="22" spans="1:16" ht="15.75" customHeight="1" x14ac:dyDescent="0.3">
      <c r="A22" s="6" t="s">
        <v>25</v>
      </c>
      <c r="B22" s="6" t="s">
        <v>20</v>
      </c>
      <c r="C22" s="7" t="s">
        <v>29</v>
      </c>
      <c r="D22" s="7" t="s">
        <v>19</v>
      </c>
      <c r="E22" s="6">
        <v>367</v>
      </c>
      <c r="F22" s="7">
        <v>10</v>
      </c>
      <c r="G22" s="7">
        <v>12</v>
      </c>
      <c r="H22" s="7">
        <f t="shared" si="3"/>
        <v>4404</v>
      </c>
      <c r="I22" s="7">
        <f t="shared" si="0"/>
        <v>0</v>
      </c>
      <c r="J22" s="7">
        <f t="shared" si="1"/>
        <v>4404</v>
      </c>
      <c r="K22" s="7">
        <v>1101</v>
      </c>
      <c r="L22" s="12">
        <f t="shared" si="2"/>
        <v>3303</v>
      </c>
      <c r="M22" s="8">
        <v>41821</v>
      </c>
      <c r="N22" s="9"/>
      <c r="O22" s="7"/>
      <c r="P22" s="10"/>
    </row>
    <row r="23" spans="1:16" ht="15.75" customHeight="1" x14ac:dyDescent="0.3">
      <c r="A23" s="11" t="s">
        <v>16</v>
      </c>
      <c r="B23" s="11" t="s">
        <v>23</v>
      </c>
      <c r="C23" s="12" t="s">
        <v>29</v>
      </c>
      <c r="D23" s="12" t="s">
        <v>19</v>
      </c>
      <c r="E23" s="11">
        <v>883</v>
      </c>
      <c r="F23" s="12">
        <v>10</v>
      </c>
      <c r="G23" s="12">
        <v>7</v>
      </c>
      <c r="H23" s="7">
        <f t="shared" si="3"/>
        <v>6181</v>
      </c>
      <c r="I23" s="7">
        <f t="shared" si="0"/>
        <v>0</v>
      </c>
      <c r="J23" s="7">
        <f t="shared" si="1"/>
        <v>6181</v>
      </c>
      <c r="K23" s="12">
        <v>4415</v>
      </c>
      <c r="L23" s="12">
        <f t="shared" si="2"/>
        <v>1766</v>
      </c>
      <c r="M23" s="13">
        <v>41852</v>
      </c>
      <c r="N23" s="14"/>
      <c r="O23" s="12"/>
      <c r="P23" s="15"/>
    </row>
    <row r="24" spans="1:16" ht="15.75" customHeight="1" x14ac:dyDescent="0.3">
      <c r="A24" s="6" t="s">
        <v>21</v>
      </c>
      <c r="B24" s="6" t="s">
        <v>22</v>
      </c>
      <c r="C24" s="7" t="s">
        <v>29</v>
      </c>
      <c r="D24" s="7" t="s">
        <v>19</v>
      </c>
      <c r="E24" s="6">
        <v>549</v>
      </c>
      <c r="F24" s="7">
        <v>10</v>
      </c>
      <c r="G24" s="7">
        <v>15</v>
      </c>
      <c r="H24" s="7">
        <f t="shared" si="3"/>
        <v>8235</v>
      </c>
      <c r="I24" s="7">
        <f t="shared" si="0"/>
        <v>0</v>
      </c>
      <c r="J24" s="7">
        <f t="shared" si="1"/>
        <v>8235</v>
      </c>
      <c r="K24" s="7">
        <v>5490</v>
      </c>
      <c r="L24" s="12">
        <f t="shared" si="2"/>
        <v>2745</v>
      </c>
      <c r="M24" s="8">
        <v>41518</v>
      </c>
      <c r="N24" s="9"/>
      <c r="O24" s="7"/>
      <c r="P24" s="10"/>
    </row>
    <row r="25" spans="1:16" ht="15.75" customHeight="1" x14ac:dyDescent="0.3">
      <c r="A25" s="11" t="s">
        <v>27</v>
      </c>
      <c r="B25" s="11" t="s">
        <v>23</v>
      </c>
      <c r="C25" s="12" t="s">
        <v>29</v>
      </c>
      <c r="D25" s="12" t="s">
        <v>19</v>
      </c>
      <c r="E25" s="11">
        <v>788</v>
      </c>
      <c r="F25" s="12">
        <v>10</v>
      </c>
      <c r="G25" s="12">
        <v>300</v>
      </c>
      <c r="H25" s="7">
        <f t="shared" si="3"/>
        <v>236400</v>
      </c>
      <c r="I25" s="7">
        <f t="shared" si="0"/>
        <v>0</v>
      </c>
      <c r="J25" s="7">
        <f t="shared" si="1"/>
        <v>236400</v>
      </c>
      <c r="K25" s="12">
        <v>197000</v>
      </c>
      <c r="L25" s="12">
        <f t="shared" si="2"/>
        <v>39400</v>
      </c>
      <c r="M25" s="13">
        <v>41518</v>
      </c>
      <c r="N25" s="14"/>
      <c r="O25" s="12"/>
      <c r="P25" s="15"/>
    </row>
    <row r="26" spans="1:16" ht="15.75" customHeight="1" x14ac:dyDescent="0.3">
      <c r="A26" s="6" t="s">
        <v>21</v>
      </c>
      <c r="B26" s="6" t="s">
        <v>23</v>
      </c>
      <c r="C26" s="7" t="s">
        <v>29</v>
      </c>
      <c r="D26" s="7" t="s">
        <v>19</v>
      </c>
      <c r="E26" s="6">
        <v>2472</v>
      </c>
      <c r="F26" s="7">
        <v>10</v>
      </c>
      <c r="G26" s="7">
        <v>15</v>
      </c>
      <c r="H26" s="7">
        <f t="shared" si="3"/>
        <v>37080</v>
      </c>
      <c r="I26" s="7">
        <f t="shared" si="0"/>
        <v>0</v>
      </c>
      <c r="J26" s="7">
        <f t="shared" si="1"/>
        <v>37080</v>
      </c>
      <c r="K26" s="7">
        <v>24720</v>
      </c>
      <c r="L26" s="12">
        <f t="shared" si="2"/>
        <v>12360</v>
      </c>
      <c r="M26" s="8">
        <v>41883</v>
      </c>
      <c r="N26" s="9"/>
      <c r="O26" s="7"/>
      <c r="P26" s="10"/>
    </row>
    <row r="27" spans="1:16" ht="15.75" customHeight="1" x14ac:dyDescent="0.3">
      <c r="A27" s="11" t="s">
        <v>16</v>
      </c>
      <c r="B27" s="11" t="s">
        <v>28</v>
      </c>
      <c r="C27" s="12" t="s">
        <v>29</v>
      </c>
      <c r="D27" s="12" t="s">
        <v>19</v>
      </c>
      <c r="E27" s="11">
        <v>1143</v>
      </c>
      <c r="F27" s="12">
        <v>10</v>
      </c>
      <c r="G27" s="12">
        <v>7</v>
      </c>
      <c r="H27" s="7">
        <f t="shared" si="3"/>
        <v>8001</v>
      </c>
      <c r="I27" s="7">
        <f t="shared" si="0"/>
        <v>0</v>
      </c>
      <c r="J27" s="7">
        <f t="shared" si="1"/>
        <v>8001</v>
      </c>
      <c r="K27" s="12">
        <v>5715</v>
      </c>
      <c r="L27" s="12">
        <f t="shared" si="2"/>
        <v>2286</v>
      </c>
      <c r="M27" s="13">
        <v>41913</v>
      </c>
      <c r="N27" s="14"/>
      <c r="O27" s="12"/>
      <c r="P27" s="15"/>
    </row>
    <row r="28" spans="1:16" ht="15.75" customHeight="1" x14ac:dyDescent="0.3">
      <c r="A28" s="6" t="s">
        <v>16</v>
      </c>
      <c r="B28" s="6" t="s">
        <v>17</v>
      </c>
      <c r="C28" s="7" t="s">
        <v>29</v>
      </c>
      <c r="D28" s="7" t="s">
        <v>19</v>
      </c>
      <c r="E28" s="6">
        <v>1725</v>
      </c>
      <c r="F28" s="7">
        <v>10</v>
      </c>
      <c r="G28" s="7">
        <v>350</v>
      </c>
      <c r="H28" s="7">
        <f t="shared" si="3"/>
        <v>603750</v>
      </c>
      <c r="I28" s="7">
        <f t="shared" si="0"/>
        <v>0</v>
      </c>
      <c r="J28" s="7">
        <f t="shared" si="1"/>
        <v>603750</v>
      </c>
      <c r="K28" s="7">
        <v>448500</v>
      </c>
      <c r="L28" s="12">
        <f t="shared" si="2"/>
        <v>155250</v>
      </c>
      <c r="M28" s="8">
        <v>41579</v>
      </c>
      <c r="N28" s="9"/>
      <c r="O28" s="7"/>
      <c r="P28" s="10"/>
    </row>
    <row r="29" spans="1:16" ht="15.75" customHeight="1" x14ac:dyDescent="0.3">
      <c r="A29" s="11" t="s">
        <v>25</v>
      </c>
      <c r="B29" s="11" t="s">
        <v>28</v>
      </c>
      <c r="C29" s="12" t="s">
        <v>29</v>
      </c>
      <c r="D29" s="12" t="s">
        <v>19</v>
      </c>
      <c r="E29" s="11">
        <v>912</v>
      </c>
      <c r="F29" s="12">
        <v>10</v>
      </c>
      <c r="G29" s="12">
        <v>12</v>
      </c>
      <c r="H29" s="7">
        <f t="shared" si="3"/>
        <v>10944</v>
      </c>
      <c r="I29" s="7">
        <f t="shared" si="0"/>
        <v>0</v>
      </c>
      <c r="J29" s="7">
        <f t="shared" si="1"/>
        <v>10944</v>
      </c>
      <c r="K29" s="12">
        <v>2736</v>
      </c>
      <c r="L29" s="12">
        <f t="shared" si="2"/>
        <v>8208</v>
      </c>
      <c r="M29" s="13">
        <v>41579</v>
      </c>
      <c r="N29" s="14"/>
      <c r="O29" s="12"/>
      <c r="P29" s="15"/>
    </row>
    <row r="30" spans="1:16" ht="15.75" customHeight="1" x14ac:dyDescent="0.3">
      <c r="A30" s="6" t="s">
        <v>21</v>
      </c>
      <c r="B30" s="6" t="s">
        <v>17</v>
      </c>
      <c r="C30" s="7" t="s">
        <v>29</v>
      </c>
      <c r="D30" s="7" t="s">
        <v>19</v>
      </c>
      <c r="E30" s="6">
        <v>2152</v>
      </c>
      <c r="F30" s="7">
        <v>10</v>
      </c>
      <c r="G30" s="7">
        <v>15</v>
      </c>
      <c r="H30" s="7">
        <f t="shared" si="3"/>
        <v>32280</v>
      </c>
      <c r="I30" s="7">
        <f t="shared" si="0"/>
        <v>0</v>
      </c>
      <c r="J30" s="7">
        <f t="shared" si="1"/>
        <v>32280</v>
      </c>
      <c r="K30" s="7">
        <v>21520</v>
      </c>
      <c r="L30" s="12">
        <f t="shared" si="2"/>
        <v>10760</v>
      </c>
      <c r="M30" s="8">
        <v>41609</v>
      </c>
      <c r="N30" s="9"/>
      <c r="O30" s="7"/>
      <c r="P30" s="10"/>
    </row>
    <row r="31" spans="1:16" ht="15.75" customHeight="1" x14ac:dyDescent="0.3">
      <c r="A31" s="11" t="s">
        <v>16</v>
      </c>
      <c r="B31" s="11" t="s">
        <v>17</v>
      </c>
      <c r="C31" s="12" t="s">
        <v>29</v>
      </c>
      <c r="D31" s="12" t="s">
        <v>19</v>
      </c>
      <c r="E31" s="11">
        <v>1817</v>
      </c>
      <c r="F31" s="12">
        <v>10</v>
      </c>
      <c r="G31" s="12">
        <v>20</v>
      </c>
      <c r="H31" s="7">
        <f t="shared" si="3"/>
        <v>36340</v>
      </c>
      <c r="I31" s="7">
        <f t="shared" si="0"/>
        <v>0</v>
      </c>
      <c r="J31" s="7">
        <f t="shared" si="1"/>
        <v>36340</v>
      </c>
      <c r="K31" s="12">
        <v>18170</v>
      </c>
      <c r="L31" s="12">
        <f t="shared" si="2"/>
        <v>18170</v>
      </c>
      <c r="M31" s="13">
        <v>41974</v>
      </c>
      <c r="N31" s="14"/>
      <c r="O31" s="12"/>
      <c r="P31" s="15"/>
    </row>
    <row r="32" spans="1:16" ht="15.75" customHeight="1" x14ac:dyDescent="0.3">
      <c r="A32" s="6" t="s">
        <v>16</v>
      </c>
      <c r="B32" s="6" t="s">
        <v>20</v>
      </c>
      <c r="C32" s="7" t="s">
        <v>29</v>
      </c>
      <c r="D32" s="7" t="s">
        <v>19</v>
      </c>
      <c r="E32" s="6">
        <v>1513</v>
      </c>
      <c r="F32" s="7">
        <v>10</v>
      </c>
      <c r="G32" s="7">
        <v>350</v>
      </c>
      <c r="H32" s="7">
        <f t="shared" si="3"/>
        <v>529550</v>
      </c>
      <c r="I32" s="7">
        <f t="shared" si="0"/>
        <v>0</v>
      </c>
      <c r="J32" s="7">
        <f t="shared" si="1"/>
        <v>529550</v>
      </c>
      <c r="K32" s="7">
        <v>393380</v>
      </c>
      <c r="L32" s="12">
        <f t="shared" si="2"/>
        <v>136170</v>
      </c>
      <c r="M32" s="8">
        <v>41974</v>
      </c>
      <c r="N32" s="9"/>
      <c r="O32" s="7"/>
      <c r="P32" s="10"/>
    </row>
    <row r="33" spans="1:16" ht="15.75" customHeight="1" x14ac:dyDescent="0.3">
      <c r="A33" s="11" t="s">
        <v>16</v>
      </c>
      <c r="B33" s="11" t="s">
        <v>23</v>
      </c>
      <c r="C33" s="12" t="s">
        <v>30</v>
      </c>
      <c r="D33" s="12" t="s">
        <v>19</v>
      </c>
      <c r="E33" s="11">
        <v>1493</v>
      </c>
      <c r="F33" s="12">
        <v>120</v>
      </c>
      <c r="G33" s="12">
        <v>7</v>
      </c>
      <c r="H33" s="7">
        <f t="shared" si="3"/>
        <v>10451</v>
      </c>
      <c r="I33" s="7">
        <f t="shared" si="0"/>
        <v>0</v>
      </c>
      <c r="J33" s="7">
        <f t="shared" si="1"/>
        <v>10451</v>
      </c>
      <c r="K33" s="12">
        <v>7465</v>
      </c>
      <c r="L33" s="12">
        <f t="shared" si="2"/>
        <v>2986</v>
      </c>
      <c r="M33" s="13">
        <v>41640</v>
      </c>
      <c r="N33" s="14"/>
      <c r="O33" s="12"/>
      <c r="P33" s="15"/>
    </row>
    <row r="34" spans="1:16" ht="15.75" customHeight="1" x14ac:dyDescent="0.3">
      <c r="A34" s="6" t="s">
        <v>26</v>
      </c>
      <c r="B34" s="6" t="s">
        <v>22</v>
      </c>
      <c r="C34" s="7" t="s">
        <v>30</v>
      </c>
      <c r="D34" s="7" t="s">
        <v>19</v>
      </c>
      <c r="E34" s="6">
        <v>1804</v>
      </c>
      <c r="F34" s="7">
        <v>120</v>
      </c>
      <c r="G34" s="7">
        <v>125</v>
      </c>
      <c r="H34" s="7">
        <f t="shared" si="3"/>
        <v>225500</v>
      </c>
      <c r="I34" s="7">
        <f t="shared" si="0"/>
        <v>0</v>
      </c>
      <c r="J34" s="7">
        <f t="shared" si="1"/>
        <v>225500</v>
      </c>
      <c r="K34" s="7">
        <v>216480</v>
      </c>
      <c r="L34" s="12">
        <f t="shared" si="2"/>
        <v>9020</v>
      </c>
      <c r="M34" s="8">
        <v>41671</v>
      </c>
      <c r="N34" s="9"/>
      <c r="O34" s="7"/>
      <c r="P34" s="10"/>
    </row>
    <row r="35" spans="1:16" ht="15.75" customHeight="1" x14ac:dyDescent="0.3">
      <c r="A35" s="11" t="s">
        <v>25</v>
      </c>
      <c r="B35" s="11" t="s">
        <v>20</v>
      </c>
      <c r="C35" s="12" t="s">
        <v>30</v>
      </c>
      <c r="D35" s="12" t="s">
        <v>19</v>
      </c>
      <c r="E35" s="11">
        <v>2161</v>
      </c>
      <c r="F35" s="12">
        <v>120</v>
      </c>
      <c r="G35" s="12">
        <v>12</v>
      </c>
      <c r="H35" s="7">
        <f t="shared" si="3"/>
        <v>25932</v>
      </c>
      <c r="I35" s="7">
        <f t="shared" si="0"/>
        <v>0</v>
      </c>
      <c r="J35" s="7">
        <f t="shared" si="1"/>
        <v>25932</v>
      </c>
      <c r="K35" s="12">
        <v>6483</v>
      </c>
      <c r="L35" s="12">
        <f t="shared" si="2"/>
        <v>19449</v>
      </c>
      <c r="M35" s="13">
        <v>41699</v>
      </c>
      <c r="N35" s="14"/>
      <c r="O35" s="12"/>
      <c r="P35" s="15"/>
    </row>
    <row r="36" spans="1:16" ht="15.75" customHeight="1" x14ac:dyDescent="0.3">
      <c r="A36" s="6" t="s">
        <v>16</v>
      </c>
      <c r="B36" s="6" t="s">
        <v>20</v>
      </c>
      <c r="C36" s="7" t="s">
        <v>30</v>
      </c>
      <c r="D36" s="7" t="s">
        <v>19</v>
      </c>
      <c r="E36" s="6">
        <v>1006</v>
      </c>
      <c r="F36" s="7">
        <v>120</v>
      </c>
      <c r="G36" s="7">
        <v>350</v>
      </c>
      <c r="H36" s="7">
        <f t="shared" si="3"/>
        <v>352100</v>
      </c>
      <c r="I36" s="7">
        <f t="shared" si="0"/>
        <v>0</v>
      </c>
      <c r="J36" s="7">
        <f t="shared" si="1"/>
        <v>352100</v>
      </c>
      <c r="K36" s="7">
        <v>261560</v>
      </c>
      <c r="L36" s="12">
        <f t="shared" si="2"/>
        <v>90540</v>
      </c>
      <c r="M36" s="8">
        <v>41791</v>
      </c>
      <c r="N36" s="9"/>
      <c r="O36" s="7"/>
      <c r="P36" s="10"/>
    </row>
    <row r="37" spans="1:16" ht="15.75" customHeight="1" x14ac:dyDescent="0.3">
      <c r="A37" s="11" t="s">
        <v>25</v>
      </c>
      <c r="B37" s="11" t="s">
        <v>20</v>
      </c>
      <c r="C37" s="12" t="s">
        <v>30</v>
      </c>
      <c r="D37" s="12" t="s">
        <v>19</v>
      </c>
      <c r="E37" s="11">
        <v>1545</v>
      </c>
      <c r="F37" s="12">
        <v>120</v>
      </c>
      <c r="G37" s="12">
        <v>12</v>
      </c>
      <c r="H37" s="7">
        <f t="shared" si="3"/>
        <v>18540</v>
      </c>
      <c r="I37" s="7">
        <f t="shared" si="0"/>
        <v>0</v>
      </c>
      <c r="J37" s="7">
        <f t="shared" si="1"/>
        <v>18540</v>
      </c>
      <c r="K37" s="12">
        <v>4635</v>
      </c>
      <c r="L37" s="12">
        <f t="shared" si="2"/>
        <v>13905</v>
      </c>
      <c r="M37" s="13">
        <v>41791</v>
      </c>
      <c r="N37" s="14"/>
      <c r="O37" s="12"/>
      <c r="P37" s="15"/>
    </row>
    <row r="38" spans="1:16" ht="15.75" customHeight="1" x14ac:dyDescent="0.3">
      <c r="A38" s="6" t="s">
        <v>26</v>
      </c>
      <c r="B38" s="6" t="s">
        <v>28</v>
      </c>
      <c r="C38" s="7" t="s">
        <v>30</v>
      </c>
      <c r="D38" s="7" t="s">
        <v>19</v>
      </c>
      <c r="E38" s="6">
        <v>2821</v>
      </c>
      <c r="F38" s="7">
        <v>120</v>
      </c>
      <c r="G38" s="7">
        <v>125</v>
      </c>
      <c r="H38" s="7">
        <f t="shared" si="3"/>
        <v>352625</v>
      </c>
      <c r="I38" s="7">
        <f t="shared" si="0"/>
        <v>0</v>
      </c>
      <c r="J38" s="7">
        <f t="shared" si="1"/>
        <v>352625</v>
      </c>
      <c r="K38" s="7">
        <v>338520</v>
      </c>
      <c r="L38" s="12">
        <f t="shared" si="2"/>
        <v>14105</v>
      </c>
      <c r="M38" s="8">
        <v>41852</v>
      </c>
      <c r="N38" s="9"/>
      <c r="O38" s="7"/>
      <c r="P38" s="10"/>
    </row>
    <row r="39" spans="1:16" ht="15.75" customHeight="1" x14ac:dyDescent="0.3">
      <c r="A39" s="11" t="s">
        <v>26</v>
      </c>
      <c r="B39" s="11" t="s">
        <v>17</v>
      </c>
      <c r="C39" s="12" t="s">
        <v>30</v>
      </c>
      <c r="D39" s="12" t="s">
        <v>19</v>
      </c>
      <c r="E39" s="11">
        <v>345</v>
      </c>
      <c r="F39" s="12">
        <v>120</v>
      </c>
      <c r="G39" s="12">
        <v>125</v>
      </c>
      <c r="H39" s="7">
        <f t="shared" si="3"/>
        <v>43125</v>
      </c>
      <c r="I39" s="7">
        <f t="shared" si="0"/>
        <v>0</v>
      </c>
      <c r="J39" s="7">
        <f t="shared" si="1"/>
        <v>43125</v>
      </c>
      <c r="K39" s="12">
        <v>41400</v>
      </c>
      <c r="L39" s="12">
        <f t="shared" si="2"/>
        <v>1725</v>
      </c>
      <c r="M39" s="13">
        <v>41548</v>
      </c>
      <c r="N39" s="14"/>
      <c r="O39" s="12"/>
      <c r="P39" s="15"/>
    </row>
    <row r="40" spans="1:16" ht="15.75" customHeight="1" x14ac:dyDescent="0.3">
      <c r="A40" s="6" t="s">
        <v>27</v>
      </c>
      <c r="B40" s="6" t="s">
        <v>17</v>
      </c>
      <c r="C40" s="7" t="s">
        <v>31</v>
      </c>
      <c r="D40" s="7" t="s">
        <v>19</v>
      </c>
      <c r="E40" s="6">
        <v>2001</v>
      </c>
      <c r="F40" s="7">
        <v>250</v>
      </c>
      <c r="G40" s="7">
        <v>300</v>
      </c>
      <c r="H40" s="7">
        <f t="shared" si="3"/>
        <v>600300</v>
      </c>
      <c r="I40" s="7">
        <f t="shared" si="0"/>
        <v>0</v>
      </c>
      <c r="J40" s="7">
        <f t="shared" si="1"/>
        <v>600300</v>
      </c>
      <c r="K40" s="7">
        <v>500250</v>
      </c>
      <c r="L40" s="12">
        <f t="shared" si="2"/>
        <v>100050</v>
      </c>
      <c r="M40" s="8">
        <v>41671</v>
      </c>
      <c r="N40" s="9"/>
      <c r="O40" s="7"/>
      <c r="P40" s="10"/>
    </row>
    <row r="41" spans="1:16" ht="15.75" customHeight="1" x14ac:dyDescent="0.3">
      <c r="A41" s="11" t="s">
        <v>25</v>
      </c>
      <c r="B41" s="11" t="s">
        <v>20</v>
      </c>
      <c r="C41" s="12" t="s">
        <v>31</v>
      </c>
      <c r="D41" s="12" t="s">
        <v>19</v>
      </c>
      <c r="E41" s="11">
        <v>2838</v>
      </c>
      <c r="F41" s="12">
        <v>250</v>
      </c>
      <c r="G41" s="12">
        <v>12</v>
      </c>
      <c r="H41" s="7">
        <f t="shared" si="3"/>
        <v>34056</v>
      </c>
      <c r="I41" s="7">
        <f t="shared" si="0"/>
        <v>0</v>
      </c>
      <c r="J41" s="7">
        <f t="shared" si="1"/>
        <v>34056</v>
      </c>
      <c r="K41" s="12">
        <v>8514</v>
      </c>
      <c r="L41" s="12">
        <f t="shared" si="2"/>
        <v>25542</v>
      </c>
      <c r="M41" s="13">
        <v>41730</v>
      </c>
      <c r="N41" s="14"/>
      <c r="O41" s="12"/>
      <c r="P41" s="15"/>
    </row>
    <row r="42" spans="1:16" ht="15.75" customHeight="1" x14ac:dyDescent="0.3">
      <c r="A42" s="6" t="s">
        <v>21</v>
      </c>
      <c r="B42" s="6" t="s">
        <v>22</v>
      </c>
      <c r="C42" s="7" t="s">
        <v>31</v>
      </c>
      <c r="D42" s="7" t="s">
        <v>19</v>
      </c>
      <c r="E42" s="6">
        <v>2178</v>
      </c>
      <c r="F42" s="7">
        <v>250</v>
      </c>
      <c r="G42" s="7">
        <v>15</v>
      </c>
      <c r="H42" s="7">
        <f t="shared" si="3"/>
        <v>32670</v>
      </c>
      <c r="I42" s="7">
        <f t="shared" si="0"/>
        <v>0</v>
      </c>
      <c r="J42" s="7">
        <f t="shared" si="1"/>
        <v>32670</v>
      </c>
      <c r="K42" s="7">
        <v>21780</v>
      </c>
      <c r="L42" s="12">
        <f t="shared" si="2"/>
        <v>10890</v>
      </c>
      <c r="M42" s="8">
        <v>41791</v>
      </c>
      <c r="N42" s="9"/>
      <c r="O42" s="7"/>
      <c r="P42" s="10"/>
    </row>
    <row r="43" spans="1:16" ht="15.75" customHeight="1" x14ac:dyDescent="0.3">
      <c r="A43" s="11" t="s">
        <v>21</v>
      </c>
      <c r="B43" s="11" t="s">
        <v>20</v>
      </c>
      <c r="C43" s="12" t="s">
        <v>31</v>
      </c>
      <c r="D43" s="12" t="s">
        <v>19</v>
      </c>
      <c r="E43" s="11">
        <v>888</v>
      </c>
      <c r="F43" s="12">
        <v>250</v>
      </c>
      <c r="G43" s="12">
        <v>15</v>
      </c>
      <c r="H43" s="7">
        <f t="shared" si="3"/>
        <v>13320</v>
      </c>
      <c r="I43" s="7">
        <f t="shared" si="0"/>
        <v>0</v>
      </c>
      <c r="J43" s="7">
        <f t="shared" si="1"/>
        <v>13320</v>
      </c>
      <c r="K43" s="12">
        <v>8880</v>
      </c>
      <c r="L43" s="12">
        <f t="shared" si="2"/>
        <v>4440</v>
      </c>
      <c r="M43" s="13">
        <v>41791</v>
      </c>
      <c r="N43" s="14"/>
      <c r="O43" s="12"/>
      <c r="P43" s="15"/>
    </row>
    <row r="44" spans="1:16" ht="15.75" customHeight="1" x14ac:dyDescent="0.3">
      <c r="A44" s="6" t="s">
        <v>16</v>
      </c>
      <c r="B44" s="6" t="s">
        <v>22</v>
      </c>
      <c r="C44" s="7" t="s">
        <v>31</v>
      </c>
      <c r="D44" s="7" t="s">
        <v>19</v>
      </c>
      <c r="E44" s="6">
        <v>1527</v>
      </c>
      <c r="F44" s="7">
        <v>250</v>
      </c>
      <c r="G44" s="7">
        <v>350</v>
      </c>
      <c r="H44" s="7">
        <f t="shared" si="3"/>
        <v>534450</v>
      </c>
      <c r="I44" s="7">
        <f t="shared" si="0"/>
        <v>0</v>
      </c>
      <c r="J44" s="7">
        <f t="shared" si="1"/>
        <v>534450</v>
      </c>
      <c r="K44" s="7">
        <v>397020</v>
      </c>
      <c r="L44" s="12">
        <f t="shared" si="2"/>
        <v>137430</v>
      </c>
      <c r="M44" s="8">
        <v>41518</v>
      </c>
      <c r="N44" s="9"/>
      <c r="O44" s="7"/>
      <c r="P44" s="10"/>
    </row>
    <row r="45" spans="1:16" ht="15.75" customHeight="1" x14ac:dyDescent="0.3">
      <c r="A45" s="11" t="s">
        <v>27</v>
      </c>
      <c r="B45" s="11" t="s">
        <v>22</v>
      </c>
      <c r="C45" s="12" t="s">
        <v>31</v>
      </c>
      <c r="D45" s="12" t="s">
        <v>19</v>
      </c>
      <c r="E45" s="11">
        <v>2151</v>
      </c>
      <c r="F45" s="12">
        <v>250</v>
      </c>
      <c r="G45" s="12">
        <v>300</v>
      </c>
      <c r="H45" s="7">
        <f t="shared" si="3"/>
        <v>645300</v>
      </c>
      <c r="I45" s="7">
        <f t="shared" si="0"/>
        <v>0</v>
      </c>
      <c r="J45" s="7">
        <f t="shared" si="1"/>
        <v>645300</v>
      </c>
      <c r="K45" s="12">
        <v>537750</v>
      </c>
      <c r="L45" s="12">
        <f t="shared" si="2"/>
        <v>107550</v>
      </c>
      <c r="M45" s="13">
        <v>41883</v>
      </c>
      <c r="N45" s="14"/>
      <c r="O45" s="12"/>
      <c r="P45" s="15"/>
    </row>
    <row r="46" spans="1:16" ht="15.75" customHeight="1" x14ac:dyDescent="0.3">
      <c r="A46" s="6" t="s">
        <v>16</v>
      </c>
      <c r="B46" s="6" t="s">
        <v>17</v>
      </c>
      <c r="C46" s="7" t="s">
        <v>31</v>
      </c>
      <c r="D46" s="7" t="s">
        <v>19</v>
      </c>
      <c r="E46" s="6">
        <v>1817</v>
      </c>
      <c r="F46" s="7">
        <v>250</v>
      </c>
      <c r="G46" s="7">
        <v>20</v>
      </c>
      <c r="H46" s="7">
        <f t="shared" si="3"/>
        <v>36340</v>
      </c>
      <c r="I46" s="7">
        <f t="shared" si="0"/>
        <v>0</v>
      </c>
      <c r="J46" s="7">
        <f t="shared" si="1"/>
        <v>36340</v>
      </c>
      <c r="K46" s="7">
        <v>18170</v>
      </c>
      <c r="L46" s="12">
        <f t="shared" si="2"/>
        <v>18170</v>
      </c>
      <c r="M46" s="8">
        <v>41974</v>
      </c>
      <c r="N46" s="9"/>
      <c r="O46" s="7"/>
      <c r="P46" s="10"/>
    </row>
    <row r="47" spans="1:16" ht="15.75" customHeight="1" x14ac:dyDescent="0.3">
      <c r="A47" s="11" t="s">
        <v>16</v>
      </c>
      <c r="B47" s="11" t="s">
        <v>22</v>
      </c>
      <c r="C47" s="12" t="s">
        <v>32</v>
      </c>
      <c r="D47" s="12" t="s">
        <v>19</v>
      </c>
      <c r="E47" s="11">
        <v>2750</v>
      </c>
      <c r="F47" s="12">
        <v>260</v>
      </c>
      <c r="G47" s="12">
        <v>350</v>
      </c>
      <c r="H47" s="7">
        <f t="shared" si="3"/>
        <v>962500</v>
      </c>
      <c r="I47" s="7">
        <f t="shared" si="0"/>
        <v>0</v>
      </c>
      <c r="J47" s="7">
        <f t="shared" si="1"/>
        <v>962500</v>
      </c>
      <c r="K47" s="12">
        <v>715000</v>
      </c>
      <c r="L47" s="12">
        <f t="shared" si="2"/>
        <v>247500</v>
      </c>
      <c r="M47" s="13">
        <v>41671</v>
      </c>
      <c r="N47" s="14"/>
      <c r="O47" s="12"/>
      <c r="P47" s="15"/>
    </row>
    <row r="48" spans="1:16" ht="15.75" customHeight="1" x14ac:dyDescent="0.3">
      <c r="A48" s="6" t="s">
        <v>25</v>
      </c>
      <c r="B48" s="6" t="s">
        <v>28</v>
      </c>
      <c r="C48" s="7" t="s">
        <v>32</v>
      </c>
      <c r="D48" s="7" t="s">
        <v>19</v>
      </c>
      <c r="E48" s="6">
        <v>1953</v>
      </c>
      <c r="F48" s="7">
        <v>260</v>
      </c>
      <c r="G48" s="7">
        <v>12</v>
      </c>
      <c r="H48" s="7">
        <f t="shared" si="3"/>
        <v>23436</v>
      </c>
      <c r="I48" s="7">
        <f t="shared" si="0"/>
        <v>0</v>
      </c>
      <c r="J48" s="7">
        <f t="shared" si="1"/>
        <v>23436</v>
      </c>
      <c r="K48" s="7">
        <v>5859</v>
      </c>
      <c r="L48" s="12">
        <f t="shared" si="2"/>
        <v>17577</v>
      </c>
      <c r="M48" s="8">
        <v>41730</v>
      </c>
      <c r="N48" s="9"/>
      <c r="O48" s="7"/>
      <c r="P48" s="10"/>
    </row>
    <row r="49" spans="1:16" ht="15.75" customHeight="1" x14ac:dyDescent="0.3">
      <c r="A49" s="11" t="s">
        <v>26</v>
      </c>
      <c r="B49" s="11" t="s">
        <v>20</v>
      </c>
      <c r="C49" s="12" t="s">
        <v>32</v>
      </c>
      <c r="D49" s="12" t="s">
        <v>19</v>
      </c>
      <c r="E49" s="11">
        <v>4219.5</v>
      </c>
      <c r="F49" s="12">
        <v>260</v>
      </c>
      <c r="G49" s="12">
        <v>125</v>
      </c>
      <c r="H49" s="7">
        <f t="shared" si="3"/>
        <v>527437.5</v>
      </c>
      <c r="I49" s="7">
        <f t="shared" si="0"/>
        <v>0</v>
      </c>
      <c r="J49" s="7">
        <f t="shared" si="1"/>
        <v>527437.5</v>
      </c>
      <c r="K49" s="12">
        <v>506340</v>
      </c>
      <c r="L49" s="12">
        <f t="shared" si="2"/>
        <v>21097.5</v>
      </c>
      <c r="M49" s="13">
        <v>41730</v>
      </c>
      <c r="N49" s="14"/>
      <c r="O49" s="12"/>
      <c r="P49" s="15"/>
    </row>
    <row r="50" spans="1:16" ht="15.75" customHeight="1" x14ac:dyDescent="0.3">
      <c r="A50" s="6" t="s">
        <v>16</v>
      </c>
      <c r="B50" s="6" t="s">
        <v>22</v>
      </c>
      <c r="C50" s="7" t="s">
        <v>32</v>
      </c>
      <c r="D50" s="7" t="s">
        <v>19</v>
      </c>
      <c r="E50" s="6">
        <v>1899</v>
      </c>
      <c r="F50" s="7">
        <v>260</v>
      </c>
      <c r="G50" s="7">
        <v>20</v>
      </c>
      <c r="H50" s="7">
        <f t="shared" si="3"/>
        <v>37980</v>
      </c>
      <c r="I50" s="7">
        <f t="shared" si="0"/>
        <v>0</v>
      </c>
      <c r="J50" s="7">
        <f t="shared" si="1"/>
        <v>37980</v>
      </c>
      <c r="K50" s="7">
        <v>18990</v>
      </c>
      <c r="L50" s="12">
        <f t="shared" si="2"/>
        <v>18990</v>
      </c>
      <c r="M50" s="8">
        <v>41791</v>
      </c>
      <c r="N50" s="9"/>
      <c r="O50" s="7"/>
      <c r="P50" s="10"/>
    </row>
    <row r="51" spans="1:16" ht="15.75" customHeight="1" x14ac:dyDescent="0.3">
      <c r="A51" s="11" t="s">
        <v>16</v>
      </c>
      <c r="B51" s="11" t="s">
        <v>20</v>
      </c>
      <c r="C51" s="12" t="s">
        <v>32</v>
      </c>
      <c r="D51" s="12" t="s">
        <v>19</v>
      </c>
      <c r="E51" s="11">
        <v>1686</v>
      </c>
      <c r="F51" s="12">
        <v>260</v>
      </c>
      <c r="G51" s="12">
        <v>7</v>
      </c>
      <c r="H51" s="7">
        <f t="shared" si="3"/>
        <v>11802</v>
      </c>
      <c r="I51" s="7">
        <f t="shared" si="0"/>
        <v>0</v>
      </c>
      <c r="J51" s="7">
        <f t="shared" si="1"/>
        <v>11802</v>
      </c>
      <c r="K51" s="12">
        <v>8430</v>
      </c>
      <c r="L51" s="12">
        <f t="shared" si="2"/>
        <v>3372</v>
      </c>
      <c r="M51" s="13">
        <v>41821</v>
      </c>
      <c r="N51" s="14"/>
      <c r="O51" s="12"/>
      <c r="P51" s="15"/>
    </row>
    <row r="52" spans="1:16" ht="15.75" customHeight="1" x14ac:dyDescent="0.3">
      <c r="A52" s="6" t="s">
        <v>25</v>
      </c>
      <c r="B52" s="6" t="s">
        <v>28</v>
      </c>
      <c r="C52" s="7" t="s">
        <v>32</v>
      </c>
      <c r="D52" s="7" t="s">
        <v>19</v>
      </c>
      <c r="E52" s="6">
        <v>2141</v>
      </c>
      <c r="F52" s="7">
        <v>260</v>
      </c>
      <c r="G52" s="7">
        <v>12</v>
      </c>
      <c r="H52" s="7">
        <f t="shared" si="3"/>
        <v>25692</v>
      </c>
      <c r="I52" s="7">
        <f t="shared" si="0"/>
        <v>0</v>
      </c>
      <c r="J52" s="7">
        <f t="shared" si="1"/>
        <v>25692</v>
      </c>
      <c r="K52" s="7">
        <v>6423</v>
      </c>
      <c r="L52" s="12">
        <f t="shared" si="2"/>
        <v>19269</v>
      </c>
      <c r="M52" s="8">
        <v>41852</v>
      </c>
      <c r="N52" s="9"/>
      <c r="O52" s="7"/>
      <c r="P52" s="10"/>
    </row>
    <row r="53" spans="1:16" ht="15.75" customHeight="1" x14ac:dyDescent="0.3">
      <c r="A53" s="11" t="s">
        <v>16</v>
      </c>
      <c r="B53" s="11" t="s">
        <v>28</v>
      </c>
      <c r="C53" s="12" t="s">
        <v>32</v>
      </c>
      <c r="D53" s="12" t="s">
        <v>19</v>
      </c>
      <c r="E53" s="11">
        <v>1143</v>
      </c>
      <c r="F53" s="12">
        <v>260</v>
      </c>
      <c r="G53" s="12">
        <v>7</v>
      </c>
      <c r="H53" s="7">
        <f t="shared" si="3"/>
        <v>8001</v>
      </c>
      <c r="I53" s="7">
        <f t="shared" si="0"/>
        <v>0</v>
      </c>
      <c r="J53" s="7">
        <f t="shared" si="1"/>
        <v>8001</v>
      </c>
      <c r="K53" s="12">
        <v>5715</v>
      </c>
      <c r="L53" s="12">
        <f t="shared" si="2"/>
        <v>2286</v>
      </c>
      <c r="M53" s="13">
        <v>41913</v>
      </c>
      <c r="N53" s="14"/>
      <c r="O53" s="12"/>
      <c r="P53" s="15"/>
    </row>
    <row r="54" spans="1:16" ht="15.75" customHeight="1" x14ac:dyDescent="0.3">
      <c r="A54" s="6" t="s">
        <v>21</v>
      </c>
      <c r="B54" s="6" t="s">
        <v>28</v>
      </c>
      <c r="C54" s="7" t="s">
        <v>32</v>
      </c>
      <c r="D54" s="7" t="s">
        <v>19</v>
      </c>
      <c r="E54" s="6">
        <v>615</v>
      </c>
      <c r="F54" s="7">
        <v>260</v>
      </c>
      <c r="G54" s="7">
        <v>15</v>
      </c>
      <c r="H54" s="7">
        <f t="shared" si="3"/>
        <v>9225</v>
      </c>
      <c r="I54" s="7">
        <f t="shared" si="0"/>
        <v>0</v>
      </c>
      <c r="J54" s="7">
        <f t="shared" si="1"/>
        <v>9225</v>
      </c>
      <c r="K54" s="7">
        <v>6150</v>
      </c>
      <c r="L54" s="12">
        <f t="shared" si="2"/>
        <v>3075</v>
      </c>
      <c r="M54" s="8">
        <v>41974</v>
      </c>
      <c r="N54" s="9"/>
      <c r="O54" s="7"/>
      <c r="P54" s="10"/>
    </row>
    <row r="55" spans="1:16" ht="15.75" customHeight="1" x14ac:dyDescent="0.3">
      <c r="A55" s="11" t="s">
        <v>16</v>
      </c>
      <c r="B55" s="11" t="s">
        <v>22</v>
      </c>
      <c r="C55" s="12" t="s">
        <v>29</v>
      </c>
      <c r="D55" s="12" t="s">
        <v>33</v>
      </c>
      <c r="E55" s="11">
        <v>3945</v>
      </c>
      <c r="F55" s="12">
        <v>10</v>
      </c>
      <c r="G55" s="12">
        <v>7</v>
      </c>
      <c r="H55" s="7">
        <f t="shared" si="3"/>
        <v>27615</v>
      </c>
      <c r="I55" s="7">
        <f t="shared" si="0"/>
        <v>1380.75</v>
      </c>
      <c r="J55" s="7">
        <f t="shared" si="1"/>
        <v>26234.25</v>
      </c>
      <c r="K55" s="12">
        <v>19725</v>
      </c>
      <c r="L55" s="12">
        <f t="shared" si="2"/>
        <v>6509.25</v>
      </c>
      <c r="M55" s="13">
        <v>41640</v>
      </c>
      <c r="N55" s="14"/>
      <c r="O55" s="12"/>
      <c r="P55" s="15"/>
    </row>
    <row r="56" spans="1:16" ht="15.75" customHeight="1" x14ac:dyDescent="0.3">
      <c r="A56" s="6" t="s">
        <v>21</v>
      </c>
      <c r="B56" s="6" t="s">
        <v>22</v>
      </c>
      <c r="C56" s="7" t="s">
        <v>29</v>
      </c>
      <c r="D56" s="7" t="s">
        <v>33</v>
      </c>
      <c r="E56" s="6">
        <v>2296</v>
      </c>
      <c r="F56" s="7">
        <v>10</v>
      </c>
      <c r="G56" s="7">
        <v>15</v>
      </c>
      <c r="H56" s="7">
        <f t="shared" si="3"/>
        <v>34440</v>
      </c>
      <c r="I56" s="7">
        <f t="shared" si="0"/>
        <v>1722</v>
      </c>
      <c r="J56" s="7">
        <f t="shared" si="1"/>
        <v>32718</v>
      </c>
      <c r="K56" s="7">
        <v>22960</v>
      </c>
      <c r="L56" s="12">
        <f t="shared" si="2"/>
        <v>9758</v>
      </c>
      <c r="M56" s="8">
        <v>41671</v>
      </c>
      <c r="N56" s="9"/>
      <c r="O56" s="7"/>
      <c r="P56" s="10"/>
    </row>
    <row r="57" spans="1:16" ht="15.75" customHeight="1" x14ac:dyDescent="0.3">
      <c r="A57" s="11" t="s">
        <v>16</v>
      </c>
      <c r="B57" s="11" t="s">
        <v>22</v>
      </c>
      <c r="C57" s="12" t="s">
        <v>29</v>
      </c>
      <c r="D57" s="12" t="s">
        <v>33</v>
      </c>
      <c r="E57" s="11">
        <v>1030</v>
      </c>
      <c r="F57" s="12">
        <v>10</v>
      </c>
      <c r="G57" s="12">
        <v>7</v>
      </c>
      <c r="H57" s="7">
        <f t="shared" si="3"/>
        <v>7210</v>
      </c>
      <c r="I57" s="7">
        <f t="shared" si="0"/>
        <v>360.5</v>
      </c>
      <c r="J57" s="7">
        <f t="shared" si="1"/>
        <v>6849.5</v>
      </c>
      <c r="K57" s="12">
        <v>5150</v>
      </c>
      <c r="L57" s="12">
        <f t="shared" si="2"/>
        <v>1699.5</v>
      </c>
      <c r="M57" s="13">
        <v>41760</v>
      </c>
      <c r="N57" s="14"/>
      <c r="O57" s="12"/>
      <c r="P57" s="15"/>
    </row>
    <row r="58" spans="1:16" ht="15.75" customHeight="1" x14ac:dyDescent="0.3">
      <c r="A58" s="6" t="s">
        <v>16</v>
      </c>
      <c r="B58" s="6" t="s">
        <v>22</v>
      </c>
      <c r="C58" s="7" t="s">
        <v>30</v>
      </c>
      <c r="D58" s="7" t="s">
        <v>33</v>
      </c>
      <c r="E58" s="6">
        <v>639</v>
      </c>
      <c r="F58" s="7">
        <v>120</v>
      </c>
      <c r="G58" s="7">
        <v>7</v>
      </c>
      <c r="H58" s="7">
        <f t="shared" si="3"/>
        <v>4473</v>
      </c>
      <c r="I58" s="7">
        <f t="shared" si="0"/>
        <v>223.65</v>
      </c>
      <c r="J58" s="7">
        <f t="shared" si="1"/>
        <v>4249.3500000000004</v>
      </c>
      <c r="K58" s="7">
        <v>3195</v>
      </c>
      <c r="L58" s="12">
        <f t="shared" si="2"/>
        <v>1054.3500000000004</v>
      </c>
      <c r="M58" s="8">
        <v>41944</v>
      </c>
      <c r="N58" s="9"/>
      <c r="O58" s="7"/>
      <c r="P58" s="10"/>
    </row>
    <row r="59" spans="1:16" ht="15.75" customHeight="1" x14ac:dyDescent="0.3">
      <c r="A59" s="11" t="s">
        <v>16</v>
      </c>
      <c r="B59" s="11" t="s">
        <v>17</v>
      </c>
      <c r="C59" s="12" t="s">
        <v>31</v>
      </c>
      <c r="D59" s="12" t="s">
        <v>33</v>
      </c>
      <c r="E59" s="11">
        <v>1326</v>
      </c>
      <c r="F59" s="12">
        <v>250</v>
      </c>
      <c r="G59" s="12">
        <v>7</v>
      </c>
      <c r="H59" s="7">
        <f t="shared" si="3"/>
        <v>9282</v>
      </c>
      <c r="I59" s="7">
        <f t="shared" si="0"/>
        <v>464.1</v>
      </c>
      <c r="J59" s="7">
        <f t="shared" si="1"/>
        <v>8817.9</v>
      </c>
      <c r="K59" s="12">
        <v>6630</v>
      </c>
      <c r="L59" s="12">
        <f t="shared" si="2"/>
        <v>2187.8999999999996</v>
      </c>
      <c r="M59" s="13">
        <v>41699</v>
      </c>
      <c r="N59" s="14"/>
      <c r="O59" s="12"/>
      <c r="P59" s="15"/>
    </row>
    <row r="60" spans="1:16" ht="15.75" customHeight="1" x14ac:dyDescent="0.3">
      <c r="A60" s="6" t="s">
        <v>25</v>
      </c>
      <c r="B60" s="6" t="s">
        <v>28</v>
      </c>
      <c r="C60" s="7" t="s">
        <v>18</v>
      </c>
      <c r="D60" s="7" t="s">
        <v>33</v>
      </c>
      <c r="E60" s="6">
        <v>1858</v>
      </c>
      <c r="F60" s="7">
        <v>3</v>
      </c>
      <c r="G60" s="7">
        <v>12</v>
      </c>
      <c r="H60" s="7">
        <f t="shared" si="3"/>
        <v>22296</v>
      </c>
      <c r="I60" s="7">
        <f t="shared" si="0"/>
        <v>1114.8</v>
      </c>
      <c r="J60" s="7">
        <f t="shared" si="1"/>
        <v>21181.200000000001</v>
      </c>
      <c r="K60" s="7">
        <v>5574</v>
      </c>
      <c r="L60" s="12">
        <f t="shared" si="2"/>
        <v>15607.2</v>
      </c>
      <c r="M60" s="8">
        <v>41671</v>
      </c>
      <c r="N60" s="9"/>
      <c r="O60" s="7"/>
      <c r="P60" s="10"/>
    </row>
    <row r="61" spans="1:16" ht="15.75" customHeight="1" x14ac:dyDescent="0.3">
      <c r="A61" s="11" t="s">
        <v>16</v>
      </c>
      <c r="B61" s="11" t="s">
        <v>23</v>
      </c>
      <c r="C61" s="12" t="s">
        <v>18</v>
      </c>
      <c r="D61" s="12" t="s">
        <v>33</v>
      </c>
      <c r="E61" s="11">
        <v>1210</v>
      </c>
      <c r="F61" s="12">
        <v>3</v>
      </c>
      <c r="G61" s="12">
        <v>350</v>
      </c>
      <c r="H61" s="7">
        <f t="shared" si="3"/>
        <v>423500</v>
      </c>
      <c r="I61" s="7">
        <f t="shared" si="0"/>
        <v>21175</v>
      </c>
      <c r="J61" s="7">
        <f t="shared" si="1"/>
        <v>402325</v>
      </c>
      <c r="K61" s="12">
        <v>314600</v>
      </c>
      <c r="L61" s="12">
        <f t="shared" si="2"/>
        <v>87725</v>
      </c>
      <c r="M61" s="13">
        <v>41699</v>
      </c>
      <c r="N61" s="14"/>
      <c r="O61" s="12"/>
      <c r="P61" s="15"/>
    </row>
    <row r="62" spans="1:16" ht="15.75" customHeight="1" x14ac:dyDescent="0.3">
      <c r="A62" s="6" t="s">
        <v>16</v>
      </c>
      <c r="B62" s="6" t="s">
        <v>28</v>
      </c>
      <c r="C62" s="7" t="s">
        <v>18</v>
      </c>
      <c r="D62" s="7" t="s">
        <v>33</v>
      </c>
      <c r="E62" s="6">
        <v>2529</v>
      </c>
      <c r="F62" s="7">
        <v>3</v>
      </c>
      <c r="G62" s="7">
        <v>7</v>
      </c>
      <c r="H62" s="7">
        <f t="shared" si="3"/>
        <v>17703</v>
      </c>
      <c r="I62" s="7">
        <f t="shared" si="0"/>
        <v>885.15000000000009</v>
      </c>
      <c r="J62" s="7">
        <f t="shared" si="1"/>
        <v>16817.849999999999</v>
      </c>
      <c r="K62" s="7">
        <v>12645</v>
      </c>
      <c r="L62" s="12">
        <f t="shared" si="2"/>
        <v>4172.8499999999985</v>
      </c>
      <c r="M62" s="8">
        <v>41821</v>
      </c>
      <c r="N62" s="9"/>
      <c r="O62" s="7"/>
      <c r="P62" s="10"/>
    </row>
    <row r="63" spans="1:16" ht="15.75" customHeight="1" x14ac:dyDescent="0.3">
      <c r="A63" s="11" t="s">
        <v>25</v>
      </c>
      <c r="B63" s="11" t="s">
        <v>17</v>
      </c>
      <c r="C63" s="12" t="s">
        <v>18</v>
      </c>
      <c r="D63" s="12" t="s">
        <v>33</v>
      </c>
      <c r="E63" s="11">
        <v>1445</v>
      </c>
      <c r="F63" s="12">
        <v>3</v>
      </c>
      <c r="G63" s="12">
        <v>12</v>
      </c>
      <c r="H63" s="7">
        <f t="shared" si="3"/>
        <v>17340</v>
      </c>
      <c r="I63" s="7">
        <f t="shared" si="0"/>
        <v>867</v>
      </c>
      <c r="J63" s="7">
        <f t="shared" si="1"/>
        <v>16473</v>
      </c>
      <c r="K63" s="12">
        <v>4335</v>
      </c>
      <c r="L63" s="12">
        <f t="shared" si="2"/>
        <v>12138</v>
      </c>
      <c r="M63" s="13">
        <v>41883</v>
      </c>
      <c r="N63" s="14"/>
      <c r="O63" s="12"/>
      <c r="P63" s="15"/>
    </row>
    <row r="64" spans="1:16" ht="15.75" customHeight="1" x14ac:dyDescent="0.3">
      <c r="A64" s="6" t="s">
        <v>26</v>
      </c>
      <c r="B64" s="6" t="s">
        <v>28</v>
      </c>
      <c r="C64" s="7" t="s">
        <v>18</v>
      </c>
      <c r="D64" s="7" t="s">
        <v>33</v>
      </c>
      <c r="E64" s="6">
        <v>330</v>
      </c>
      <c r="F64" s="7">
        <v>3</v>
      </c>
      <c r="G64" s="7">
        <v>125</v>
      </c>
      <c r="H64" s="7">
        <f t="shared" si="3"/>
        <v>41250</v>
      </c>
      <c r="I64" s="7">
        <f t="shared" si="0"/>
        <v>2062.5</v>
      </c>
      <c r="J64" s="7">
        <f t="shared" si="1"/>
        <v>39187.5</v>
      </c>
      <c r="K64" s="7">
        <v>39600</v>
      </c>
      <c r="L64" s="12">
        <f t="shared" si="2"/>
        <v>-412.5</v>
      </c>
      <c r="M64" s="8">
        <v>41518</v>
      </c>
      <c r="N64" s="9"/>
      <c r="O64" s="7"/>
      <c r="P64" s="10"/>
    </row>
    <row r="65" spans="1:16" ht="15.75" customHeight="1" x14ac:dyDescent="0.3">
      <c r="A65" s="11" t="s">
        <v>25</v>
      </c>
      <c r="B65" s="11" t="s">
        <v>22</v>
      </c>
      <c r="C65" s="12" t="s">
        <v>18</v>
      </c>
      <c r="D65" s="12" t="s">
        <v>33</v>
      </c>
      <c r="E65" s="11">
        <v>2671</v>
      </c>
      <c r="F65" s="12">
        <v>3</v>
      </c>
      <c r="G65" s="12">
        <v>12</v>
      </c>
      <c r="H65" s="7">
        <f t="shared" si="3"/>
        <v>32052</v>
      </c>
      <c r="I65" s="7">
        <f t="shared" si="0"/>
        <v>1602.6000000000001</v>
      </c>
      <c r="J65" s="7">
        <f t="shared" si="1"/>
        <v>30449.4</v>
      </c>
      <c r="K65" s="12">
        <v>8013</v>
      </c>
      <c r="L65" s="12">
        <f t="shared" si="2"/>
        <v>22436.400000000001</v>
      </c>
      <c r="M65" s="13">
        <v>41883</v>
      </c>
      <c r="N65" s="14"/>
      <c r="O65" s="12"/>
      <c r="P65" s="15"/>
    </row>
    <row r="66" spans="1:16" ht="15.75" customHeight="1" x14ac:dyDescent="0.3">
      <c r="A66" s="6" t="s">
        <v>25</v>
      </c>
      <c r="B66" s="6" t="s">
        <v>20</v>
      </c>
      <c r="C66" s="7" t="s">
        <v>18</v>
      </c>
      <c r="D66" s="7" t="s">
        <v>33</v>
      </c>
      <c r="E66" s="6">
        <v>766</v>
      </c>
      <c r="F66" s="7">
        <v>3</v>
      </c>
      <c r="G66" s="7">
        <v>12</v>
      </c>
      <c r="H66" s="7">
        <f t="shared" si="3"/>
        <v>9192</v>
      </c>
      <c r="I66" s="7">
        <f t="shared" si="0"/>
        <v>459.6</v>
      </c>
      <c r="J66" s="7">
        <f t="shared" si="1"/>
        <v>8732.4</v>
      </c>
      <c r="K66" s="7">
        <v>2298</v>
      </c>
      <c r="L66" s="12">
        <f t="shared" si="2"/>
        <v>6434.4</v>
      </c>
      <c r="M66" s="8">
        <v>41548</v>
      </c>
      <c r="N66" s="9"/>
      <c r="O66" s="7"/>
      <c r="P66" s="10"/>
    </row>
    <row r="67" spans="1:16" ht="15.75" customHeight="1" x14ac:dyDescent="0.3">
      <c r="A67" s="11" t="s">
        <v>27</v>
      </c>
      <c r="B67" s="11" t="s">
        <v>23</v>
      </c>
      <c r="C67" s="12" t="s">
        <v>18</v>
      </c>
      <c r="D67" s="12" t="s">
        <v>33</v>
      </c>
      <c r="E67" s="11">
        <v>494</v>
      </c>
      <c r="F67" s="12">
        <v>3</v>
      </c>
      <c r="G67" s="12">
        <v>300</v>
      </c>
      <c r="H67" s="7">
        <f t="shared" si="3"/>
        <v>148200</v>
      </c>
      <c r="I67" s="7">
        <f t="shared" ref="I67:I130" si="4">IF(D67="None", 0, IF(D67="Low", H67*0.05, IF(D67="Medium", H67*0.1, IF(D67="High", H67*0.15, 0))))</f>
        <v>7410</v>
      </c>
      <c r="J67" s="7">
        <f t="shared" ref="J67:J130" si="5">H67-I67</f>
        <v>140790</v>
      </c>
      <c r="K67" s="12">
        <v>123500</v>
      </c>
      <c r="L67" s="12">
        <f t="shared" si="2"/>
        <v>17290</v>
      </c>
      <c r="M67" s="13">
        <v>41548</v>
      </c>
      <c r="N67" s="14"/>
      <c r="O67" s="12"/>
      <c r="P67" s="15"/>
    </row>
    <row r="68" spans="1:16" ht="15.75" customHeight="1" x14ac:dyDescent="0.3">
      <c r="A68" s="6" t="s">
        <v>16</v>
      </c>
      <c r="B68" s="6" t="s">
        <v>23</v>
      </c>
      <c r="C68" s="7" t="s">
        <v>18</v>
      </c>
      <c r="D68" s="7" t="s">
        <v>33</v>
      </c>
      <c r="E68" s="6">
        <v>1397</v>
      </c>
      <c r="F68" s="7">
        <v>3</v>
      </c>
      <c r="G68" s="7">
        <v>350</v>
      </c>
      <c r="H68" s="7">
        <f t="shared" si="3"/>
        <v>488950</v>
      </c>
      <c r="I68" s="7">
        <f t="shared" si="4"/>
        <v>24447.5</v>
      </c>
      <c r="J68" s="7">
        <f t="shared" si="5"/>
        <v>464502.5</v>
      </c>
      <c r="K68" s="7">
        <v>363220</v>
      </c>
      <c r="L68" s="12">
        <f t="shared" ref="L68:L131" si="6">J68-K68</f>
        <v>101282.5</v>
      </c>
      <c r="M68" s="8">
        <v>41913</v>
      </c>
      <c r="N68" s="9"/>
      <c r="O68" s="7"/>
      <c r="P68" s="10"/>
    </row>
    <row r="69" spans="1:16" ht="15.75" customHeight="1" x14ac:dyDescent="0.3">
      <c r="A69" s="11" t="s">
        <v>16</v>
      </c>
      <c r="B69" s="11" t="s">
        <v>22</v>
      </c>
      <c r="C69" s="12" t="s">
        <v>18</v>
      </c>
      <c r="D69" s="12" t="s">
        <v>33</v>
      </c>
      <c r="E69" s="11">
        <v>2155</v>
      </c>
      <c r="F69" s="12">
        <v>3</v>
      </c>
      <c r="G69" s="12">
        <v>350</v>
      </c>
      <c r="H69" s="7">
        <f t="shared" ref="H69:H132" si="7">E69*G69</f>
        <v>754250</v>
      </c>
      <c r="I69" s="7">
        <f t="shared" si="4"/>
        <v>37712.5</v>
      </c>
      <c r="J69" s="7">
        <f t="shared" si="5"/>
        <v>716537.5</v>
      </c>
      <c r="K69" s="12">
        <v>560300</v>
      </c>
      <c r="L69" s="12">
        <f t="shared" si="6"/>
        <v>156237.5</v>
      </c>
      <c r="M69" s="13">
        <v>41974</v>
      </c>
      <c r="N69" s="14"/>
      <c r="O69" s="12"/>
      <c r="P69" s="15"/>
    </row>
    <row r="70" spans="1:16" ht="15.75" customHeight="1" x14ac:dyDescent="0.3">
      <c r="A70" s="6" t="s">
        <v>21</v>
      </c>
      <c r="B70" s="6" t="s">
        <v>23</v>
      </c>
      <c r="C70" s="7" t="s">
        <v>24</v>
      </c>
      <c r="D70" s="7" t="s">
        <v>33</v>
      </c>
      <c r="E70" s="6">
        <v>2214</v>
      </c>
      <c r="F70" s="7">
        <v>5</v>
      </c>
      <c r="G70" s="7">
        <v>15</v>
      </c>
      <c r="H70" s="7">
        <f t="shared" si="7"/>
        <v>33210</v>
      </c>
      <c r="I70" s="7">
        <f t="shared" si="4"/>
        <v>1660.5</v>
      </c>
      <c r="J70" s="7">
        <f t="shared" si="5"/>
        <v>31549.5</v>
      </c>
      <c r="K70" s="7">
        <v>22140</v>
      </c>
      <c r="L70" s="12">
        <f t="shared" si="6"/>
        <v>9409.5</v>
      </c>
      <c r="M70" s="8">
        <v>41699</v>
      </c>
      <c r="N70" s="9"/>
      <c r="O70" s="7"/>
      <c r="P70" s="10"/>
    </row>
    <row r="71" spans="1:16" ht="15.75" customHeight="1" x14ac:dyDescent="0.3">
      <c r="A71" s="11" t="s">
        <v>27</v>
      </c>
      <c r="B71" s="11" t="s">
        <v>28</v>
      </c>
      <c r="C71" s="12" t="s">
        <v>24</v>
      </c>
      <c r="D71" s="12" t="s">
        <v>33</v>
      </c>
      <c r="E71" s="11">
        <v>2301</v>
      </c>
      <c r="F71" s="12">
        <v>5</v>
      </c>
      <c r="G71" s="12">
        <v>300</v>
      </c>
      <c r="H71" s="7">
        <f t="shared" si="7"/>
        <v>690300</v>
      </c>
      <c r="I71" s="7">
        <f t="shared" si="4"/>
        <v>34515</v>
      </c>
      <c r="J71" s="7">
        <f t="shared" si="5"/>
        <v>655785</v>
      </c>
      <c r="K71" s="12">
        <v>575250</v>
      </c>
      <c r="L71" s="12">
        <f t="shared" si="6"/>
        <v>80535</v>
      </c>
      <c r="M71" s="13">
        <v>41730</v>
      </c>
      <c r="N71" s="14"/>
      <c r="O71" s="12"/>
      <c r="P71" s="15"/>
    </row>
    <row r="72" spans="1:16" ht="15.75" customHeight="1" x14ac:dyDescent="0.3">
      <c r="A72" s="6" t="s">
        <v>16</v>
      </c>
      <c r="B72" s="6" t="s">
        <v>22</v>
      </c>
      <c r="C72" s="7" t="s">
        <v>24</v>
      </c>
      <c r="D72" s="7" t="s">
        <v>33</v>
      </c>
      <c r="E72" s="6">
        <v>1375.5</v>
      </c>
      <c r="F72" s="7">
        <v>5</v>
      </c>
      <c r="G72" s="7">
        <v>20</v>
      </c>
      <c r="H72" s="7">
        <f t="shared" si="7"/>
        <v>27510</v>
      </c>
      <c r="I72" s="7">
        <f t="shared" si="4"/>
        <v>1375.5</v>
      </c>
      <c r="J72" s="7">
        <f t="shared" si="5"/>
        <v>26134.5</v>
      </c>
      <c r="K72" s="7">
        <v>13755</v>
      </c>
      <c r="L72" s="12">
        <f t="shared" si="6"/>
        <v>12379.5</v>
      </c>
      <c r="M72" s="8">
        <v>41821</v>
      </c>
      <c r="N72" s="9"/>
      <c r="O72" s="7"/>
      <c r="P72" s="10"/>
    </row>
    <row r="73" spans="1:16" ht="15.75" customHeight="1" x14ac:dyDescent="0.3">
      <c r="A73" s="11" t="s">
        <v>16</v>
      </c>
      <c r="B73" s="11" t="s">
        <v>17</v>
      </c>
      <c r="C73" s="12" t="s">
        <v>24</v>
      </c>
      <c r="D73" s="12" t="s">
        <v>33</v>
      </c>
      <c r="E73" s="11">
        <v>1830</v>
      </c>
      <c r="F73" s="12">
        <v>5</v>
      </c>
      <c r="G73" s="12">
        <v>7</v>
      </c>
      <c r="H73" s="7">
        <f t="shared" si="7"/>
        <v>12810</v>
      </c>
      <c r="I73" s="7">
        <f t="shared" si="4"/>
        <v>640.5</v>
      </c>
      <c r="J73" s="7">
        <f t="shared" si="5"/>
        <v>12169.5</v>
      </c>
      <c r="K73" s="12">
        <v>9150</v>
      </c>
      <c r="L73" s="12">
        <f t="shared" si="6"/>
        <v>3019.5</v>
      </c>
      <c r="M73" s="13">
        <v>41852</v>
      </c>
      <c r="N73" s="14"/>
      <c r="O73" s="12"/>
      <c r="P73" s="15"/>
    </row>
    <row r="74" spans="1:16" ht="15.75" customHeight="1" x14ac:dyDescent="0.3">
      <c r="A74" s="6" t="s">
        <v>27</v>
      </c>
      <c r="B74" s="6" t="s">
        <v>28</v>
      </c>
      <c r="C74" s="7" t="s">
        <v>24</v>
      </c>
      <c r="D74" s="7" t="s">
        <v>33</v>
      </c>
      <c r="E74" s="6">
        <v>2498</v>
      </c>
      <c r="F74" s="7">
        <v>5</v>
      </c>
      <c r="G74" s="7">
        <v>300</v>
      </c>
      <c r="H74" s="7">
        <f t="shared" si="7"/>
        <v>749400</v>
      </c>
      <c r="I74" s="7">
        <f t="shared" si="4"/>
        <v>37470</v>
      </c>
      <c r="J74" s="7">
        <f t="shared" si="5"/>
        <v>711930</v>
      </c>
      <c r="K74" s="7">
        <v>624500</v>
      </c>
      <c r="L74" s="12">
        <f t="shared" si="6"/>
        <v>87430</v>
      </c>
      <c r="M74" s="8">
        <v>41518</v>
      </c>
      <c r="N74" s="9"/>
      <c r="O74" s="7"/>
      <c r="P74" s="10"/>
    </row>
    <row r="75" spans="1:16" ht="15.75" customHeight="1" x14ac:dyDescent="0.3">
      <c r="A75" s="11" t="s">
        <v>26</v>
      </c>
      <c r="B75" s="11" t="s">
        <v>28</v>
      </c>
      <c r="C75" s="12" t="s">
        <v>24</v>
      </c>
      <c r="D75" s="12" t="s">
        <v>33</v>
      </c>
      <c r="E75" s="11">
        <v>663</v>
      </c>
      <c r="F75" s="12">
        <v>5</v>
      </c>
      <c r="G75" s="12">
        <v>125</v>
      </c>
      <c r="H75" s="7">
        <f t="shared" si="7"/>
        <v>82875</v>
      </c>
      <c r="I75" s="7">
        <f t="shared" si="4"/>
        <v>4143.75</v>
      </c>
      <c r="J75" s="7">
        <f t="shared" si="5"/>
        <v>78731.25</v>
      </c>
      <c r="K75" s="12">
        <v>79560</v>
      </c>
      <c r="L75" s="12">
        <f t="shared" si="6"/>
        <v>-828.75</v>
      </c>
      <c r="M75" s="13">
        <v>41548</v>
      </c>
      <c r="N75" s="14"/>
      <c r="O75" s="12"/>
      <c r="P75" s="15"/>
    </row>
    <row r="76" spans="1:16" ht="15.75" customHeight="1" x14ac:dyDescent="0.3">
      <c r="A76" s="6" t="s">
        <v>21</v>
      </c>
      <c r="B76" s="6" t="s">
        <v>28</v>
      </c>
      <c r="C76" s="7" t="s">
        <v>29</v>
      </c>
      <c r="D76" s="7" t="s">
        <v>33</v>
      </c>
      <c r="E76" s="6">
        <v>1514</v>
      </c>
      <c r="F76" s="7">
        <v>10</v>
      </c>
      <c r="G76" s="7">
        <v>15</v>
      </c>
      <c r="H76" s="7">
        <f t="shared" si="7"/>
        <v>22710</v>
      </c>
      <c r="I76" s="7">
        <f t="shared" si="4"/>
        <v>1135.5</v>
      </c>
      <c r="J76" s="7">
        <f t="shared" si="5"/>
        <v>21574.5</v>
      </c>
      <c r="K76" s="7">
        <v>15140</v>
      </c>
      <c r="L76" s="12">
        <f t="shared" si="6"/>
        <v>6434.5</v>
      </c>
      <c r="M76" s="8">
        <v>41671</v>
      </c>
      <c r="N76" s="9"/>
      <c r="O76" s="7"/>
      <c r="P76" s="10"/>
    </row>
    <row r="77" spans="1:16" ht="15.75" customHeight="1" x14ac:dyDescent="0.3">
      <c r="A77" s="11" t="s">
        <v>16</v>
      </c>
      <c r="B77" s="11" t="s">
        <v>28</v>
      </c>
      <c r="C77" s="12" t="s">
        <v>29</v>
      </c>
      <c r="D77" s="12" t="s">
        <v>33</v>
      </c>
      <c r="E77" s="11">
        <v>4492.5</v>
      </c>
      <c r="F77" s="12">
        <v>10</v>
      </c>
      <c r="G77" s="12">
        <v>7</v>
      </c>
      <c r="H77" s="7">
        <f t="shared" si="7"/>
        <v>31447.5</v>
      </c>
      <c r="I77" s="7">
        <f t="shared" si="4"/>
        <v>1572.375</v>
      </c>
      <c r="J77" s="7">
        <f t="shared" si="5"/>
        <v>29875.125</v>
      </c>
      <c r="K77" s="12">
        <v>22462.5</v>
      </c>
      <c r="L77" s="12">
        <f t="shared" si="6"/>
        <v>7412.625</v>
      </c>
      <c r="M77" s="13">
        <v>41730</v>
      </c>
      <c r="N77" s="14"/>
      <c r="O77" s="12"/>
      <c r="P77" s="15"/>
    </row>
    <row r="78" spans="1:16" ht="15.75" customHeight="1" x14ac:dyDescent="0.3">
      <c r="A78" s="6" t="s">
        <v>26</v>
      </c>
      <c r="B78" s="6" t="s">
        <v>28</v>
      </c>
      <c r="C78" s="7" t="s">
        <v>29</v>
      </c>
      <c r="D78" s="7" t="s">
        <v>33</v>
      </c>
      <c r="E78" s="6">
        <v>727</v>
      </c>
      <c r="F78" s="7">
        <v>10</v>
      </c>
      <c r="G78" s="7">
        <v>125</v>
      </c>
      <c r="H78" s="7">
        <f t="shared" si="7"/>
        <v>90875</v>
      </c>
      <c r="I78" s="7">
        <f t="shared" si="4"/>
        <v>4543.75</v>
      </c>
      <c r="J78" s="7">
        <f t="shared" si="5"/>
        <v>86331.25</v>
      </c>
      <c r="K78" s="7">
        <v>87240</v>
      </c>
      <c r="L78" s="12">
        <f t="shared" si="6"/>
        <v>-908.75</v>
      </c>
      <c r="M78" s="8">
        <v>41791</v>
      </c>
      <c r="N78" s="9"/>
      <c r="O78" s="7"/>
      <c r="P78" s="10"/>
    </row>
    <row r="79" spans="1:16" ht="15.75" customHeight="1" x14ac:dyDescent="0.3">
      <c r="A79" s="11" t="s">
        <v>26</v>
      </c>
      <c r="B79" s="11" t="s">
        <v>22</v>
      </c>
      <c r="C79" s="12" t="s">
        <v>29</v>
      </c>
      <c r="D79" s="12" t="s">
        <v>33</v>
      </c>
      <c r="E79" s="11">
        <v>787</v>
      </c>
      <c r="F79" s="12">
        <v>10</v>
      </c>
      <c r="G79" s="12">
        <v>125</v>
      </c>
      <c r="H79" s="7">
        <f t="shared" si="7"/>
        <v>98375</v>
      </c>
      <c r="I79" s="7">
        <f t="shared" si="4"/>
        <v>4918.75</v>
      </c>
      <c r="J79" s="7">
        <f t="shared" si="5"/>
        <v>93456.25</v>
      </c>
      <c r="K79" s="12">
        <v>94440</v>
      </c>
      <c r="L79" s="12">
        <f t="shared" si="6"/>
        <v>-983.75</v>
      </c>
      <c r="M79" s="13">
        <v>41791</v>
      </c>
      <c r="N79" s="14"/>
      <c r="O79" s="12"/>
      <c r="P79" s="15"/>
    </row>
    <row r="80" spans="1:16" ht="15.75" customHeight="1" x14ac:dyDescent="0.3">
      <c r="A80" s="6" t="s">
        <v>26</v>
      </c>
      <c r="B80" s="6" t="s">
        <v>23</v>
      </c>
      <c r="C80" s="7" t="s">
        <v>29</v>
      </c>
      <c r="D80" s="7" t="s">
        <v>33</v>
      </c>
      <c r="E80" s="6">
        <v>1823</v>
      </c>
      <c r="F80" s="7">
        <v>10</v>
      </c>
      <c r="G80" s="7">
        <v>125</v>
      </c>
      <c r="H80" s="7">
        <f t="shared" si="7"/>
        <v>227875</v>
      </c>
      <c r="I80" s="7">
        <f t="shared" si="4"/>
        <v>11393.75</v>
      </c>
      <c r="J80" s="7">
        <f t="shared" si="5"/>
        <v>216481.25</v>
      </c>
      <c r="K80" s="7">
        <v>218760</v>
      </c>
      <c r="L80" s="12">
        <f t="shared" si="6"/>
        <v>-2278.75</v>
      </c>
      <c r="M80" s="8">
        <v>41821</v>
      </c>
      <c r="N80" s="9"/>
      <c r="O80" s="7"/>
      <c r="P80" s="10"/>
    </row>
    <row r="81" spans="1:16" ht="15.75" customHeight="1" x14ac:dyDescent="0.3">
      <c r="A81" s="11" t="s">
        <v>21</v>
      </c>
      <c r="B81" s="11" t="s">
        <v>20</v>
      </c>
      <c r="C81" s="12" t="s">
        <v>29</v>
      </c>
      <c r="D81" s="12" t="s">
        <v>33</v>
      </c>
      <c r="E81" s="11">
        <v>747</v>
      </c>
      <c r="F81" s="12">
        <v>10</v>
      </c>
      <c r="G81" s="12">
        <v>15</v>
      </c>
      <c r="H81" s="7">
        <f t="shared" si="7"/>
        <v>11205</v>
      </c>
      <c r="I81" s="7">
        <f t="shared" si="4"/>
        <v>560.25</v>
      </c>
      <c r="J81" s="7">
        <f t="shared" si="5"/>
        <v>10644.75</v>
      </c>
      <c r="K81" s="12">
        <v>7470</v>
      </c>
      <c r="L81" s="12">
        <f t="shared" si="6"/>
        <v>3174.75</v>
      </c>
      <c r="M81" s="13">
        <v>41883</v>
      </c>
      <c r="N81" s="14"/>
      <c r="O81" s="12"/>
      <c r="P81" s="15"/>
    </row>
    <row r="82" spans="1:16" ht="15.75" customHeight="1" x14ac:dyDescent="0.3">
      <c r="A82" s="6" t="s">
        <v>25</v>
      </c>
      <c r="B82" s="6" t="s">
        <v>20</v>
      </c>
      <c r="C82" s="7" t="s">
        <v>29</v>
      </c>
      <c r="D82" s="7" t="s">
        <v>33</v>
      </c>
      <c r="E82" s="6">
        <v>766</v>
      </c>
      <c r="F82" s="7">
        <v>10</v>
      </c>
      <c r="G82" s="7">
        <v>12</v>
      </c>
      <c r="H82" s="7">
        <f t="shared" si="7"/>
        <v>9192</v>
      </c>
      <c r="I82" s="7">
        <f t="shared" si="4"/>
        <v>459.6</v>
      </c>
      <c r="J82" s="7">
        <f t="shared" si="5"/>
        <v>8732.4</v>
      </c>
      <c r="K82" s="7">
        <v>2298</v>
      </c>
      <c r="L82" s="12">
        <f t="shared" si="6"/>
        <v>6434.4</v>
      </c>
      <c r="M82" s="8">
        <v>41548</v>
      </c>
      <c r="N82" s="9"/>
      <c r="O82" s="7"/>
      <c r="P82" s="10"/>
    </row>
    <row r="83" spans="1:16" ht="15.75" customHeight="1" x14ac:dyDescent="0.3">
      <c r="A83" s="11" t="s">
        <v>27</v>
      </c>
      <c r="B83" s="11" t="s">
        <v>28</v>
      </c>
      <c r="C83" s="12" t="s">
        <v>29</v>
      </c>
      <c r="D83" s="12" t="s">
        <v>33</v>
      </c>
      <c r="E83" s="11">
        <v>2905</v>
      </c>
      <c r="F83" s="12">
        <v>10</v>
      </c>
      <c r="G83" s="12">
        <v>300</v>
      </c>
      <c r="H83" s="7">
        <f t="shared" si="7"/>
        <v>871500</v>
      </c>
      <c r="I83" s="7">
        <f t="shared" si="4"/>
        <v>43575</v>
      </c>
      <c r="J83" s="7">
        <f t="shared" si="5"/>
        <v>827925</v>
      </c>
      <c r="K83" s="12">
        <v>726250</v>
      </c>
      <c r="L83" s="12">
        <f t="shared" si="6"/>
        <v>101675</v>
      </c>
      <c r="M83" s="13">
        <v>41944</v>
      </c>
      <c r="N83" s="14"/>
      <c r="O83" s="12"/>
      <c r="P83" s="15"/>
    </row>
    <row r="84" spans="1:16" ht="15.75" customHeight="1" x14ac:dyDescent="0.3">
      <c r="A84" s="6" t="s">
        <v>16</v>
      </c>
      <c r="B84" s="6" t="s">
        <v>22</v>
      </c>
      <c r="C84" s="7" t="s">
        <v>29</v>
      </c>
      <c r="D84" s="7" t="s">
        <v>33</v>
      </c>
      <c r="E84" s="6">
        <v>2155</v>
      </c>
      <c r="F84" s="7">
        <v>10</v>
      </c>
      <c r="G84" s="7">
        <v>350</v>
      </c>
      <c r="H84" s="7">
        <f t="shared" si="7"/>
        <v>754250</v>
      </c>
      <c r="I84" s="7">
        <f t="shared" si="4"/>
        <v>37712.5</v>
      </c>
      <c r="J84" s="7">
        <f t="shared" si="5"/>
        <v>716537.5</v>
      </c>
      <c r="K84" s="7">
        <v>560300</v>
      </c>
      <c r="L84" s="12">
        <f t="shared" si="6"/>
        <v>156237.5</v>
      </c>
      <c r="M84" s="8">
        <v>41974</v>
      </c>
      <c r="N84" s="9"/>
      <c r="O84" s="7"/>
      <c r="P84" s="10"/>
    </row>
    <row r="85" spans="1:16" ht="15.75" customHeight="1" x14ac:dyDescent="0.3">
      <c r="A85" s="11" t="s">
        <v>16</v>
      </c>
      <c r="B85" s="11" t="s">
        <v>22</v>
      </c>
      <c r="C85" s="12" t="s">
        <v>30</v>
      </c>
      <c r="D85" s="12" t="s">
        <v>33</v>
      </c>
      <c r="E85" s="11">
        <v>3864</v>
      </c>
      <c r="F85" s="12">
        <v>120</v>
      </c>
      <c r="G85" s="12">
        <v>20</v>
      </c>
      <c r="H85" s="7">
        <f t="shared" si="7"/>
        <v>77280</v>
      </c>
      <c r="I85" s="7">
        <f t="shared" si="4"/>
        <v>3864</v>
      </c>
      <c r="J85" s="7">
        <f t="shared" si="5"/>
        <v>73416</v>
      </c>
      <c r="K85" s="12">
        <v>38640</v>
      </c>
      <c r="L85" s="12">
        <f t="shared" si="6"/>
        <v>34776</v>
      </c>
      <c r="M85" s="13">
        <v>41730</v>
      </c>
      <c r="N85" s="14"/>
      <c r="O85" s="12"/>
      <c r="P85" s="15"/>
    </row>
    <row r="86" spans="1:16" ht="15.75" customHeight="1" x14ac:dyDescent="0.3">
      <c r="A86" s="6" t="s">
        <v>16</v>
      </c>
      <c r="B86" s="6" t="s">
        <v>23</v>
      </c>
      <c r="C86" s="7" t="s">
        <v>30</v>
      </c>
      <c r="D86" s="7" t="s">
        <v>33</v>
      </c>
      <c r="E86" s="6">
        <v>362</v>
      </c>
      <c r="F86" s="7">
        <v>120</v>
      </c>
      <c r="G86" s="7">
        <v>7</v>
      </c>
      <c r="H86" s="7">
        <f t="shared" si="7"/>
        <v>2534</v>
      </c>
      <c r="I86" s="7">
        <f t="shared" si="4"/>
        <v>126.7</v>
      </c>
      <c r="J86" s="7">
        <f t="shared" si="5"/>
        <v>2407.3000000000002</v>
      </c>
      <c r="K86" s="7">
        <v>1810</v>
      </c>
      <c r="L86" s="12">
        <f t="shared" si="6"/>
        <v>597.30000000000018</v>
      </c>
      <c r="M86" s="8">
        <v>41760</v>
      </c>
      <c r="N86" s="9"/>
      <c r="O86" s="7"/>
      <c r="P86" s="10"/>
    </row>
    <row r="87" spans="1:16" ht="15.75" customHeight="1" x14ac:dyDescent="0.3">
      <c r="A87" s="11" t="s">
        <v>26</v>
      </c>
      <c r="B87" s="11" t="s">
        <v>17</v>
      </c>
      <c r="C87" s="12" t="s">
        <v>30</v>
      </c>
      <c r="D87" s="12" t="s">
        <v>33</v>
      </c>
      <c r="E87" s="11">
        <v>923</v>
      </c>
      <c r="F87" s="12">
        <v>120</v>
      </c>
      <c r="G87" s="12">
        <v>125</v>
      </c>
      <c r="H87" s="7">
        <f t="shared" si="7"/>
        <v>115375</v>
      </c>
      <c r="I87" s="7">
        <f t="shared" si="4"/>
        <v>5768.75</v>
      </c>
      <c r="J87" s="7">
        <f t="shared" si="5"/>
        <v>109606.25</v>
      </c>
      <c r="K87" s="12">
        <v>110760</v>
      </c>
      <c r="L87" s="12">
        <f t="shared" si="6"/>
        <v>-1153.75</v>
      </c>
      <c r="M87" s="13">
        <v>41852</v>
      </c>
      <c r="N87" s="14"/>
      <c r="O87" s="12"/>
      <c r="P87" s="15"/>
    </row>
    <row r="88" spans="1:16" ht="15.75" customHeight="1" x14ac:dyDescent="0.3">
      <c r="A88" s="6" t="s">
        <v>26</v>
      </c>
      <c r="B88" s="6" t="s">
        <v>28</v>
      </c>
      <c r="C88" s="7" t="s">
        <v>30</v>
      </c>
      <c r="D88" s="7" t="s">
        <v>33</v>
      </c>
      <c r="E88" s="6">
        <v>663</v>
      </c>
      <c r="F88" s="7">
        <v>120</v>
      </c>
      <c r="G88" s="7">
        <v>125</v>
      </c>
      <c r="H88" s="7">
        <f t="shared" si="7"/>
        <v>82875</v>
      </c>
      <c r="I88" s="7">
        <f t="shared" si="4"/>
        <v>4143.75</v>
      </c>
      <c r="J88" s="7">
        <f t="shared" si="5"/>
        <v>78731.25</v>
      </c>
      <c r="K88" s="7">
        <v>79560</v>
      </c>
      <c r="L88" s="12">
        <f t="shared" si="6"/>
        <v>-828.75</v>
      </c>
      <c r="M88" s="8">
        <v>41548</v>
      </c>
      <c r="N88" s="9"/>
      <c r="O88" s="7"/>
      <c r="P88" s="10"/>
    </row>
    <row r="89" spans="1:16" ht="15.75" customHeight="1" x14ac:dyDescent="0.3">
      <c r="A89" s="11" t="s">
        <v>16</v>
      </c>
      <c r="B89" s="11" t="s">
        <v>17</v>
      </c>
      <c r="C89" s="12" t="s">
        <v>30</v>
      </c>
      <c r="D89" s="12" t="s">
        <v>33</v>
      </c>
      <c r="E89" s="11">
        <v>2092</v>
      </c>
      <c r="F89" s="12">
        <v>120</v>
      </c>
      <c r="G89" s="12">
        <v>7</v>
      </c>
      <c r="H89" s="7">
        <f t="shared" si="7"/>
        <v>14644</v>
      </c>
      <c r="I89" s="7">
        <f t="shared" si="4"/>
        <v>732.2</v>
      </c>
      <c r="J89" s="7">
        <f t="shared" si="5"/>
        <v>13911.8</v>
      </c>
      <c r="K89" s="12">
        <v>10460</v>
      </c>
      <c r="L89" s="12">
        <f t="shared" si="6"/>
        <v>3451.7999999999993</v>
      </c>
      <c r="M89" s="13">
        <v>41579</v>
      </c>
      <c r="N89" s="14"/>
      <c r="O89" s="12"/>
      <c r="P89" s="15"/>
    </row>
    <row r="90" spans="1:16" ht="15.75" customHeight="1" x14ac:dyDescent="0.3">
      <c r="A90" s="6" t="s">
        <v>16</v>
      </c>
      <c r="B90" s="6" t="s">
        <v>20</v>
      </c>
      <c r="C90" s="7" t="s">
        <v>31</v>
      </c>
      <c r="D90" s="7" t="s">
        <v>33</v>
      </c>
      <c r="E90" s="6">
        <v>263</v>
      </c>
      <c r="F90" s="7">
        <v>250</v>
      </c>
      <c r="G90" s="7">
        <v>7</v>
      </c>
      <c r="H90" s="7">
        <f t="shared" si="7"/>
        <v>1841</v>
      </c>
      <c r="I90" s="7">
        <f t="shared" si="4"/>
        <v>92.050000000000011</v>
      </c>
      <c r="J90" s="7">
        <f t="shared" si="5"/>
        <v>1748.95</v>
      </c>
      <c r="K90" s="7">
        <v>1315</v>
      </c>
      <c r="L90" s="12">
        <f t="shared" si="6"/>
        <v>433.95000000000005</v>
      </c>
      <c r="M90" s="8">
        <v>41699</v>
      </c>
      <c r="N90" s="9"/>
      <c r="O90" s="7"/>
      <c r="P90" s="10"/>
    </row>
    <row r="91" spans="1:16" ht="15.75" customHeight="1" x14ac:dyDescent="0.3">
      <c r="A91" s="11" t="s">
        <v>16</v>
      </c>
      <c r="B91" s="11" t="s">
        <v>17</v>
      </c>
      <c r="C91" s="12" t="s">
        <v>31</v>
      </c>
      <c r="D91" s="12" t="s">
        <v>33</v>
      </c>
      <c r="E91" s="11">
        <v>943.5</v>
      </c>
      <c r="F91" s="12">
        <v>250</v>
      </c>
      <c r="G91" s="12">
        <v>350</v>
      </c>
      <c r="H91" s="7">
        <f t="shared" si="7"/>
        <v>330225</v>
      </c>
      <c r="I91" s="7">
        <f t="shared" si="4"/>
        <v>16511.25</v>
      </c>
      <c r="J91" s="7">
        <f t="shared" si="5"/>
        <v>313713.75</v>
      </c>
      <c r="K91" s="12">
        <v>245310</v>
      </c>
      <c r="L91" s="12">
        <f t="shared" si="6"/>
        <v>68403.75</v>
      </c>
      <c r="M91" s="13">
        <v>41730</v>
      </c>
      <c r="N91" s="14"/>
      <c r="O91" s="12"/>
      <c r="P91" s="15"/>
    </row>
    <row r="92" spans="1:16" ht="15.75" customHeight="1" x14ac:dyDescent="0.3">
      <c r="A92" s="6" t="s">
        <v>26</v>
      </c>
      <c r="B92" s="6" t="s">
        <v>28</v>
      </c>
      <c r="C92" s="7" t="s">
        <v>31</v>
      </c>
      <c r="D92" s="7" t="s">
        <v>33</v>
      </c>
      <c r="E92" s="6">
        <v>727</v>
      </c>
      <c r="F92" s="7">
        <v>250</v>
      </c>
      <c r="G92" s="7">
        <v>125</v>
      </c>
      <c r="H92" s="7">
        <f t="shared" si="7"/>
        <v>90875</v>
      </c>
      <c r="I92" s="7">
        <f t="shared" si="4"/>
        <v>4543.75</v>
      </c>
      <c r="J92" s="7">
        <f t="shared" si="5"/>
        <v>86331.25</v>
      </c>
      <c r="K92" s="7">
        <v>87240</v>
      </c>
      <c r="L92" s="12">
        <f t="shared" si="6"/>
        <v>-908.75</v>
      </c>
      <c r="M92" s="8">
        <v>41791</v>
      </c>
      <c r="N92" s="9"/>
      <c r="O92" s="7"/>
      <c r="P92" s="10"/>
    </row>
    <row r="93" spans="1:16" ht="15.75" customHeight="1" x14ac:dyDescent="0.3">
      <c r="A93" s="11" t="s">
        <v>26</v>
      </c>
      <c r="B93" s="11" t="s">
        <v>22</v>
      </c>
      <c r="C93" s="12" t="s">
        <v>31</v>
      </c>
      <c r="D93" s="12" t="s">
        <v>33</v>
      </c>
      <c r="E93" s="11">
        <v>787</v>
      </c>
      <c r="F93" s="12">
        <v>250</v>
      </c>
      <c r="G93" s="12">
        <v>125</v>
      </c>
      <c r="H93" s="7">
        <f t="shared" si="7"/>
        <v>98375</v>
      </c>
      <c r="I93" s="7">
        <f t="shared" si="4"/>
        <v>4918.75</v>
      </c>
      <c r="J93" s="7">
        <f t="shared" si="5"/>
        <v>93456.25</v>
      </c>
      <c r="K93" s="12">
        <v>94440</v>
      </c>
      <c r="L93" s="12">
        <f t="shared" si="6"/>
        <v>-983.75</v>
      </c>
      <c r="M93" s="13">
        <v>41791</v>
      </c>
      <c r="N93" s="14"/>
      <c r="O93" s="12"/>
      <c r="P93" s="15"/>
    </row>
    <row r="94" spans="1:16" ht="15.75" customHeight="1" x14ac:dyDescent="0.3">
      <c r="A94" s="6" t="s">
        <v>27</v>
      </c>
      <c r="B94" s="6" t="s">
        <v>20</v>
      </c>
      <c r="C94" s="7" t="s">
        <v>31</v>
      </c>
      <c r="D94" s="7" t="s">
        <v>33</v>
      </c>
      <c r="E94" s="6">
        <v>986</v>
      </c>
      <c r="F94" s="7">
        <v>250</v>
      </c>
      <c r="G94" s="7">
        <v>300</v>
      </c>
      <c r="H94" s="7">
        <f t="shared" si="7"/>
        <v>295800</v>
      </c>
      <c r="I94" s="7">
        <f t="shared" si="4"/>
        <v>14790</v>
      </c>
      <c r="J94" s="7">
        <f t="shared" si="5"/>
        <v>281010</v>
      </c>
      <c r="K94" s="7">
        <v>246500</v>
      </c>
      <c r="L94" s="12">
        <f t="shared" si="6"/>
        <v>34510</v>
      </c>
      <c r="M94" s="8">
        <v>41883</v>
      </c>
      <c r="N94" s="9"/>
      <c r="O94" s="7"/>
      <c r="P94" s="10"/>
    </row>
    <row r="95" spans="1:16" ht="15.75" customHeight="1" x14ac:dyDescent="0.3">
      <c r="A95" s="11" t="s">
        <v>27</v>
      </c>
      <c r="B95" s="11" t="s">
        <v>23</v>
      </c>
      <c r="C95" s="12" t="s">
        <v>31</v>
      </c>
      <c r="D95" s="12" t="s">
        <v>33</v>
      </c>
      <c r="E95" s="11">
        <v>494</v>
      </c>
      <c r="F95" s="12">
        <v>250</v>
      </c>
      <c r="G95" s="12">
        <v>300</v>
      </c>
      <c r="H95" s="7">
        <f t="shared" si="7"/>
        <v>148200</v>
      </c>
      <c r="I95" s="7">
        <f t="shared" si="4"/>
        <v>7410</v>
      </c>
      <c r="J95" s="7">
        <f t="shared" si="5"/>
        <v>140790</v>
      </c>
      <c r="K95" s="12">
        <v>123500</v>
      </c>
      <c r="L95" s="12">
        <f t="shared" si="6"/>
        <v>17290</v>
      </c>
      <c r="M95" s="13">
        <v>41548</v>
      </c>
      <c r="N95" s="14"/>
      <c r="O95" s="12"/>
      <c r="P95" s="15"/>
    </row>
    <row r="96" spans="1:16" ht="15.75" customHeight="1" x14ac:dyDescent="0.3">
      <c r="A96" s="6" t="s">
        <v>16</v>
      </c>
      <c r="B96" s="6" t="s">
        <v>23</v>
      </c>
      <c r="C96" s="7" t="s">
        <v>31</v>
      </c>
      <c r="D96" s="7" t="s">
        <v>33</v>
      </c>
      <c r="E96" s="6">
        <v>1397</v>
      </c>
      <c r="F96" s="7">
        <v>250</v>
      </c>
      <c r="G96" s="7">
        <v>350</v>
      </c>
      <c r="H96" s="7">
        <f t="shared" si="7"/>
        <v>488950</v>
      </c>
      <c r="I96" s="7">
        <f t="shared" si="4"/>
        <v>24447.5</v>
      </c>
      <c r="J96" s="7">
        <f t="shared" si="5"/>
        <v>464502.5</v>
      </c>
      <c r="K96" s="7">
        <v>363220</v>
      </c>
      <c r="L96" s="12">
        <f t="shared" si="6"/>
        <v>101282.5</v>
      </c>
      <c r="M96" s="8">
        <v>41913</v>
      </c>
      <c r="N96" s="9"/>
      <c r="O96" s="7"/>
      <c r="P96" s="10"/>
    </row>
    <row r="97" spans="1:16" ht="15.75" customHeight="1" x14ac:dyDescent="0.3">
      <c r="A97" s="11" t="s">
        <v>26</v>
      </c>
      <c r="B97" s="11" t="s">
        <v>22</v>
      </c>
      <c r="C97" s="12" t="s">
        <v>31</v>
      </c>
      <c r="D97" s="12" t="s">
        <v>33</v>
      </c>
      <c r="E97" s="11">
        <v>1744</v>
      </c>
      <c r="F97" s="12">
        <v>250</v>
      </c>
      <c r="G97" s="12">
        <v>125</v>
      </c>
      <c r="H97" s="7">
        <f t="shared" si="7"/>
        <v>218000</v>
      </c>
      <c r="I97" s="7">
        <f t="shared" si="4"/>
        <v>10900</v>
      </c>
      <c r="J97" s="7">
        <f t="shared" si="5"/>
        <v>207100</v>
      </c>
      <c r="K97" s="12">
        <v>209280</v>
      </c>
      <c r="L97" s="12">
        <f t="shared" si="6"/>
        <v>-2180</v>
      </c>
      <c r="M97" s="13">
        <v>41944</v>
      </c>
      <c r="N97" s="14"/>
      <c r="O97" s="12"/>
      <c r="P97" s="15"/>
    </row>
    <row r="98" spans="1:16" ht="15.75" customHeight="1" x14ac:dyDescent="0.3">
      <c r="A98" s="6" t="s">
        <v>25</v>
      </c>
      <c r="B98" s="6" t="s">
        <v>28</v>
      </c>
      <c r="C98" s="7" t="s">
        <v>32</v>
      </c>
      <c r="D98" s="7" t="s">
        <v>33</v>
      </c>
      <c r="E98" s="6">
        <v>1989</v>
      </c>
      <c r="F98" s="7">
        <v>260</v>
      </c>
      <c r="G98" s="7">
        <v>12</v>
      </c>
      <c r="H98" s="7">
        <f t="shared" si="7"/>
        <v>23868</v>
      </c>
      <c r="I98" s="7">
        <f t="shared" si="4"/>
        <v>1193.4000000000001</v>
      </c>
      <c r="J98" s="7">
        <f t="shared" si="5"/>
        <v>22674.6</v>
      </c>
      <c r="K98" s="7">
        <v>5967</v>
      </c>
      <c r="L98" s="12">
        <f t="shared" si="6"/>
        <v>16707.599999999999</v>
      </c>
      <c r="M98" s="8">
        <v>41518</v>
      </c>
      <c r="N98" s="9"/>
      <c r="O98" s="7"/>
      <c r="P98" s="10"/>
    </row>
    <row r="99" spans="1:16" ht="15.75" customHeight="1" x14ac:dyDescent="0.3">
      <c r="A99" s="11" t="s">
        <v>21</v>
      </c>
      <c r="B99" s="11" t="s">
        <v>22</v>
      </c>
      <c r="C99" s="12" t="s">
        <v>32</v>
      </c>
      <c r="D99" s="12" t="s">
        <v>33</v>
      </c>
      <c r="E99" s="11">
        <v>321</v>
      </c>
      <c r="F99" s="12">
        <v>260</v>
      </c>
      <c r="G99" s="12">
        <v>15</v>
      </c>
      <c r="H99" s="7">
        <f t="shared" si="7"/>
        <v>4815</v>
      </c>
      <c r="I99" s="7">
        <f t="shared" si="4"/>
        <v>240.75</v>
      </c>
      <c r="J99" s="7">
        <f t="shared" si="5"/>
        <v>4574.25</v>
      </c>
      <c r="K99" s="12">
        <v>3210</v>
      </c>
      <c r="L99" s="12">
        <f t="shared" si="6"/>
        <v>1364.25</v>
      </c>
      <c r="M99" s="13">
        <v>41579</v>
      </c>
      <c r="N99" s="14"/>
      <c r="O99" s="12"/>
      <c r="P99" s="15"/>
    </row>
    <row r="100" spans="1:16" ht="15.75" customHeight="1" x14ac:dyDescent="0.3">
      <c r="A100" s="6" t="s">
        <v>26</v>
      </c>
      <c r="B100" s="6" t="s">
        <v>17</v>
      </c>
      <c r="C100" s="7" t="s">
        <v>18</v>
      </c>
      <c r="D100" s="7" t="s">
        <v>33</v>
      </c>
      <c r="E100" s="6">
        <v>742.5</v>
      </c>
      <c r="F100" s="7">
        <v>3</v>
      </c>
      <c r="G100" s="7">
        <v>125</v>
      </c>
      <c r="H100" s="7">
        <f t="shared" si="7"/>
        <v>92812.5</v>
      </c>
      <c r="I100" s="7">
        <f t="shared" si="4"/>
        <v>4640.625</v>
      </c>
      <c r="J100" s="7">
        <f t="shared" si="5"/>
        <v>88171.875</v>
      </c>
      <c r="K100" s="7">
        <v>89100</v>
      </c>
      <c r="L100" s="12">
        <f t="shared" si="6"/>
        <v>-928.125</v>
      </c>
      <c r="M100" s="8">
        <v>41730</v>
      </c>
      <c r="N100" s="9"/>
      <c r="O100" s="7"/>
      <c r="P100" s="10"/>
    </row>
    <row r="101" spans="1:16" ht="15.75" customHeight="1" x14ac:dyDescent="0.3">
      <c r="A101" s="11" t="s">
        <v>25</v>
      </c>
      <c r="B101" s="11" t="s">
        <v>17</v>
      </c>
      <c r="C101" s="12" t="s">
        <v>18</v>
      </c>
      <c r="D101" s="12" t="s">
        <v>33</v>
      </c>
      <c r="E101" s="11">
        <v>1295</v>
      </c>
      <c r="F101" s="12">
        <v>3</v>
      </c>
      <c r="G101" s="12">
        <v>12</v>
      </c>
      <c r="H101" s="7">
        <f t="shared" si="7"/>
        <v>15540</v>
      </c>
      <c r="I101" s="7">
        <f t="shared" si="4"/>
        <v>777</v>
      </c>
      <c r="J101" s="7">
        <f t="shared" si="5"/>
        <v>14763</v>
      </c>
      <c r="K101" s="12">
        <v>3885</v>
      </c>
      <c r="L101" s="12">
        <f t="shared" si="6"/>
        <v>10878</v>
      </c>
      <c r="M101" s="13">
        <v>41913</v>
      </c>
      <c r="N101" s="14"/>
      <c r="O101" s="12"/>
      <c r="P101" s="15"/>
    </row>
    <row r="102" spans="1:16" ht="15.75" customHeight="1" x14ac:dyDescent="0.3">
      <c r="A102" s="6" t="s">
        <v>27</v>
      </c>
      <c r="B102" s="6" t="s">
        <v>20</v>
      </c>
      <c r="C102" s="7" t="s">
        <v>18</v>
      </c>
      <c r="D102" s="7" t="s">
        <v>33</v>
      </c>
      <c r="E102" s="6">
        <v>214</v>
      </c>
      <c r="F102" s="7">
        <v>3</v>
      </c>
      <c r="G102" s="7">
        <v>300</v>
      </c>
      <c r="H102" s="7">
        <f t="shared" si="7"/>
        <v>64200</v>
      </c>
      <c r="I102" s="7">
        <f t="shared" si="4"/>
        <v>3210</v>
      </c>
      <c r="J102" s="7">
        <f t="shared" si="5"/>
        <v>60990</v>
      </c>
      <c r="K102" s="7">
        <v>53500</v>
      </c>
      <c r="L102" s="12">
        <f t="shared" si="6"/>
        <v>7490</v>
      </c>
      <c r="M102" s="8">
        <v>41548</v>
      </c>
      <c r="N102" s="9"/>
      <c r="O102" s="7"/>
      <c r="P102" s="10"/>
    </row>
    <row r="103" spans="1:16" ht="15.75" customHeight="1" x14ac:dyDescent="0.3">
      <c r="A103" s="11" t="s">
        <v>16</v>
      </c>
      <c r="B103" s="11" t="s">
        <v>22</v>
      </c>
      <c r="C103" s="12" t="s">
        <v>18</v>
      </c>
      <c r="D103" s="12" t="s">
        <v>33</v>
      </c>
      <c r="E103" s="11">
        <v>2145</v>
      </c>
      <c r="F103" s="12">
        <v>3</v>
      </c>
      <c r="G103" s="12">
        <v>7</v>
      </c>
      <c r="H103" s="7">
        <f t="shared" si="7"/>
        <v>15015</v>
      </c>
      <c r="I103" s="7">
        <f t="shared" si="4"/>
        <v>750.75</v>
      </c>
      <c r="J103" s="7">
        <f t="shared" si="5"/>
        <v>14264.25</v>
      </c>
      <c r="K103" s="12">
        <v>10725</v>
      </c>
      <c r="L103" s="12">
        <f t="shared" si="6"/>
        <v>3539.25</v>
      </c>
      <c r="M103" s="13">
        <v>41579</v>
      </c>
      <c r="N103" s="14"/>
      <c r="O103" s="12"/>
      <c r="P103" s="15"/>
    </row>
    <row r="104" spans="1:16" ht="15.75" customHeight="1" x14ac:dyDescent="0.3">
      <c r="A104" s="6" t="s">
        <v>16</v>
      </c>
      <c r="B104" s="6" t="s">
        <v>17</v>
      </c>
      <c r="C104" s="7" t="s">
        <v>18</v>
      </c>
      <c r="D104" s="7" t="s">
        <v>33</v>
      </c>
      <c r="E104" s="6">
        <v>2852</v>
      </c>
      <c r="F104" s="7">
        <v>3</v>
      </c>
      <c r="G104" s="7">
        <v>350</v>
      </c>
      <c r="H104" s="7">
        <f t="shared" si="7"/>
        <v>998200</v>
      </c>
      <c r="I104" s="7">
        <f t="shared" si="4"/>
        <v>49910</v>
      </c>
      <c r="J104" s="7">
        <f t="shared" si="5"/>
        <v>948290</v>
      </c>
      <c r="K104" s="7">
        <v>741520</v>
      </c>
      <c r="L104" s="12">
        <f t="shared" si="6"/>
        <v>206770</v>
      </c>
      <c r="M104" s="8">
        <v>41974</v>
      </c>
      <c r="N104" s="9"/>
      <c r="O104" s="7"/>
      <c r="P104" s="10"/>
    </row>
    <row r="105" spans="1:16" ht="15.75" customHeight="1" x14ac:dyDescent="0.3">
      <c r="A105" s="11" t="s">
        <v>25</v>
      </c>
      <c r="B105" s="11" t="s">
        <v>28</v>
      </c>
      <c r="C105" s="12" t="s">
        <v>24</v>
      </c>
      <c r="D105" s="12" t="s">
        <v>33</v>
      </c>
      <c r="E105" s="11">
        <v>1142</v>
      </c>
      <c r="F105" s="12">
        <v>5</v>
      </c>
      <c r="G105" s="12">
        <v>12</v>
      </c>
      <c r="H105" s="7">
        <f t="shared" si="7"/>
        <v>13704</v>
      </c>
      <c r="I105" s="7">
        <f t="shared" si="4"/>
        <v>685.2</v>
      </c>
      <c r="J105" s="7">
        <f t="shared" si="5"/>
        <v>13018.8</v>
      </c>
      <c r="K105" s="12">
        <v>3426</v>
      </c>
      <c r="L105" s="12">
        <f t="shared" si="6"/>
        <v>9592.7999999999993</v>
      </c>
      <c r="M105" s="13">
        <v>41791</v>
      </c>
      <c r="N105" s="14"/>
      <c r="O105" s="12"/>
      <c r="P105" s="15"/>
    </row>
    <row r="106" spans="1:16" ht="15.75" customHeight="1" x14ac:dyDescent="0.3">
      <c r="A106" s="6" t="s">
        <v>16</v>
      </c>
      <c r="B106" s="6" t="s">
        <v>28</v>
      </c>
      <c r="C106" s="7" t="s">
        <v>24</v>
      </c>
      <c r="D106" s="7" t="s">
        <v>33</v>
      </c>
      <c r="E106" s="6">
        <v>1566</v>
      </c>
      <c r="F106" s="7">
        <v>5</v>
      </c>
      <c r="G106" s="7">
        <v>20</v>
      </c>
      <c r="H106" s="7">
        <f t="shared" si="7"/>
        <v>31320</v>
      </c>
      <c r="I106" s="7">
        <f t="shared" si="4"/>
        <v>1566</v>
      </c>
      <c r="J106" s="7">
        <f t="shared" si="5"/>
        <v>29754</v>
      </c>
      <c r="K106" s="7">
        <v>15660</v>
      </c>
      <c r="L106" s="12">
        <f t="shared" si="6"/>
        <v>14094</v>
      </c>
      <c r="M106" s="8">
        <v>41913</v>
      </c>
      <c r="N106" s="9"/>
      <c r="O106" s="7"/>
      <c r="P106" s="10"/>
    </row>
    <row r="107" spans="1:16" ht="15.75" customHeight="1" x14ac:dyDescent="0.3">
      <c r="A107" s="11" t="s">
        <v>25</v>
      </c>
      <c r="B107" s="11" t="s">
        <v>23</v>
      </c>
      <c r="C107" s="12" t="s">
        <v>24</v>
      </c>
      <c r="D107" s="12" t="s">
        <v>33</v>
      </c>
      <c r="E107" s="11">
        <v>690</v>
      </c>
      <c r="F107" s="12">
        <v>5</v>
      </c>
      <c r="G107" s="12">
        <v>12</v>
      </c>
      <c r="H107" s="7">
        <f t="shared" si="7"/>
        <v>8280</v>
      </c>
      <c r="I107" s="7">
        <f t="shared" si="4"/>
        <v>414</v>
      </c>
      <c r="J107" s="7">
        <f t="shared" si="5"/>
        <v>7866</v>
      </c>
      <c r="K107" s="12">
        <v>2070</v>
      </c>
      <c r="L107" s="12">
        <f t="shared" si="6"/>
        <v>5796</v>
      </c>
      <c r="M107" s="13">
        <v>41944</v>
      </c>
      <c r="N107" s="14"/>
      <c r="O107" s="12"/>
      <c r="P107" s="15"/>
    </row>
    <row r="108" spans="1:16" ht="15.75" customHeight="1" x14ac:dyDescent="0.3">
      <c r="A108" s="6" t="s">
        <v>26</v>
      </c>
      <c r="B108" s="6" t="s">
        <v>23</v>
      </c>
      <c r="C108" s="7" t="s">
        <v>24</v>
      </c>
      <c r="D108" s="7" t="s">
        <v>33</v>
      </c>
      <c r="E108" s="6">
        <v>1660</v>
      </c>
      <c r="F108" s="7">
        <v>5</v>
      </c>
      <c r="G108" s="7">
        <v>125</v>
      </c>
      <c r="H108" s="7">
        <f t="shared" si="7"/>
        <v>207500</v>
      </c>
      <c r="I108" s="7">
        <f t="shared" si="4"/>
        <v>10375</v>
      </c>
      <c r="J108" s="7">
        <f t="shared" si="5"/>
        <v>197125</v>
      </c>
      <c r="K108" s="7">
        <v>199200</v>
      </c>
      <c r="L108" s="12">
        <f t="shared" si="6"/>
        <v>-2075</v>
      </c>
      <c r="M108" s="8">
        <v>41579</v>
      </c>
      <c r="N108" s="9"/>
      <c r="O108" s="7"/>
      <c r="P108" s="10"/>
    </row>
    <row r="109" spans="1:16" ht="15.75" customHeight="1" x14ac:dyDescent="0.3">
      <c r="A109" s="11" t="s">
        <v>21</v>
      </c>
      <c r="B109" s="11" t="s">
        <v>17</v>
      </c>
      <c r="C109" s="12" t="s">
        <v>29</v>
      </c>
      <c r="D109" s="12" t="s">
        <v>33</v>
      </c>
      <c r="E109" s="11">
        <v>2363</v>
      </c>
      <c r="F109" s="12">
        <v>10</v>
      </c>
      <c r="G109" s="12">
        <v>15</v>
      </c>
      <c r="H109" s="7">
        <f t="shared" si="7"/>
        <v>35445</v>
      </c>
      <c r="I109" s="7">
        <f t="shared" si="4"/>
        <v>1772.25</v>
      </c>
      <c r="J109" s="7">
        <f t="shared" si="5"/>
        <v>33672.75</v>
      </c>
      <c r="K109" s="12">
        <v>23630</v>
      </c>
      <c r="L109" s="12">
        <f t="shared" si="6"/>
        <v>10042.75</v>
      </c>
      <c r="M109" s="13">
        <v>41671</v>
      </c>
      <c r="N109" s="14"/>
      <c r="O109" s="12"/>
      <c r="P109" s="15"/>
    </row>
    <row r="110" spans="1:16" ht="15.75" customHeight="1" x14ac:dyDescent="0.3">
      <c r="A110" s="6" t="s">
        <v>27</v>
      </c>
      <c r="B110" s="6" t="s">
        <v>22</v>
      </c>
      <c r="C110" s="7" t="s">
        <v>29</v>
      </c>
      <c r="D110" s="7" t="s">
        <v>33</v>
      </c>
      <c r="E110" s="6">
        <v>918</v>
      </c>
      <c r="F110" s="7">
        <v>10</v>
      </c>
      <c r="G110" s="7">
        <v>300</v>
      </c>
      <c r="H110" s="7">
        <f t="shared" si="7"/>
        <v>275400</v>
      </c>
      <c r="I110" s="7">
        <f t="shared" si="4"/>
        <v>13770</v>
      </c>
      <c r="J110" s="7">
        <f t="shared" si="5"/>
        <v>261630</v>
      </c>
      <c r="K110" s="7">
        <v>229500</v>
      </c>
      <c r="L110" s="12">
        <f t="shared" si="6"/>
        <v>32130</v>
      </c>
      <c r="M110" s="8">
        <v>41760</v>
      </c>
      <c r="N110" s="9"/>
      <c r="O110" s="7"/>
      <c r="P110" s="10"/>
    </row>
    <row r="111" spans="1:16" ht="15.75" customHeight="1" x14ac:dyDescent="0.3">
      <c r="A111" s="11" t="s">
        <v>27</v>
      </c>
      <c r="B111" s="11" t="s">
        <v>20</v>
      </c>
      <c r="C111" s="12" t="s">
        <v>29</v>
      </c>
      <c r="D111" s="12" t="s">
        <v>33</v>
      </c>
      <c r="E111" s="11">
        <v>1728</v>
      </c>
      <c r="F111" s="12">
        <v>10</v>
      </c>
      <c r="G111" s="12">
        <v>300</v>
      </c>
      <c r="H111" s="7">
        <f t="shared" si="7"/>
        <v>518400</v>
      </c>
      <c r="I111" s="7">
        <f t="shared" si="4"/>
        <v>25920</v>
      </c>
      <c r="J111" s="7">
        <f t="shared" si="5"/>
        <v>492480</v>
      </c>
      <c r="K111" s="12">
        <v>432000</v>
      </c>
      <c r="L111" s="12">
        <f t="shared" si="6"/>
        <v>60480</v>
      </c>
      <c r="M111" s="13">
        <v>41760</v>
      </c>
      <c r="N111" s="14"/>
      <c r="O111" s="12"/>
      <c r="P111" s="15"/>
    </row>
    <row r="112" spans="1:16" ht="15.75" customHeight="1" x14ac:dyDescent="0.3">
      <c r="A112" s="6" t="s">
        <v>25</v>
      </c>
      <c r="B112" s="6" t="s">
        <v>28</v>
      </c>
      <c r="C112" s="7" t="s">
        <v>29</v>
      </c>
      <c r="D112" s="7" t="s">
        <v>33</v>
      </c>
      <c r="E112" s="6">
        <v>1142</v>
      </c>
      <c r="F112" s="7">
        <v>10</v>
      </c>
      <c r="G112" s="7">
        <v>12</v>
      </c>
      <c r="H112" s="7">
        <f t="shared" si="7"/>
        <v>13704</v>
      </c>
      <c r="I112" s="7">
        <f t="shared" si="4"/>
        <v>685.2</v>
      </c>
      <c r="J112" s="7">
        <f t="shared" si="5"/>
        <v>13018.8</v>
      </c>
      <c r="K112" s="7">
        <v>3426</v>
      </c>
      <c r="L112" s="12">
        <f t="shared" si="6"/>
        <v>9592.7999999999993</v>
      </c>
      <c r="M112" s="8">
        <v>41791</v>
      </c>
      <c r="N112" s="9"/>
      <c r="O112" s="7"/>
      <c r="P112" s="10"/>
    </row>
    <row r="113" spans="1:16" ht="15.75" customHeight="1" x14ac:dyDescent="0.3">
      <c r="A113" s="11" t="s">
        <v>26</v>
      </c>
      <c r="B113" s="11" t="s">
        <v>23</v>
      </c>
      <c r="C113" s="12" t="s">
        <v>29</v>
      </c>
      <c r="D113" s="12" t="s">
        <v>33</v>
      </c>
      <c r="E113" s="11">
        <v>662</v>
      </c>
      <c r="F113" s="12">
        <v>10</v>
      </c>
      <c r="G113" s="12">
        <v>125</v>
      </c>
      <c r="H113" s="7">
        <f t="shared" si="7"/>
        <v>82750</v>
      </c>
      <c r="I113" s="7">
        <f t="shared" si="4"/>
        <v>4137.5</v>
      </c>
      <c r="J113" s="7">
        <f t="shared" si="5"/>
        <v>78612.5</v>
      </c>
      <c r="K113" s="12">
        <v>79440</v>
      </c>
      <c r="L113" s="12">
        <f t="shared" si="6"/>
        <v>-827.5</v>
      </c>
      <c r="M113" s="13">
        <v>41791</v>
      </c>
      <c r="N113" s="14"/>
      <c r="O113" s="12"/>
      <c r="P113" s="15"/>
    </row>
    <row r="114" spans="1:16" ht="15.75" customHeight="1" x14ac:dyDescent="0.3">
      <c r="A114" s="6" t="s">
        <v>25</v>
      </c>
      <c r="B114" s="6" t="s">
        <v>17</v>
      </c>
      <c r="C114" s="7" t="s">
        <v>29</v>
      </c>
      <c r="D114" s="7" t="s">
        <v>33</v>
      </c>
      <c r="E114" s="6">
        <v>1295</v>
      </c>
      <c r="F114" s="7">
        <v>10</v>
      </c>
      <c r="G114" s="7">
        <v>12</v>
      </c>
      <c r="H114" s="7">
        <f t="shared" si="7"/>
        <v>15540</v>
      </c>
      <c r="I114" s="7">
        <f t="shared" si="4"/>
        <v>777</v>
      </c>
      <c r="J114" s="7">
        <f t="shared" si="5"/>
        <v>14763</v>
      </c>
      <c r="K114" s="7">
        <v>3885</v>
      </c>
      <c r="L114" s="12">
        <f t="shared" si="6"/>
        <v>10878</v>
      </c>
      <c r="M114" s="8">
        <v>41913</v>
      </c>
      <c r="N114" s="9"/>
      <c r="O114" s="7"/>
      <c r="P114" s="10"/>
    </row>
    <row r="115" spans="1:16" ht="15.75" customHeight="1" x14ac:dyDescent="0.3">
      <c r="A115" s="11" t="s">
        <v>26</v>
      </c>
      <c r="B115" s="11" t="s">
        <v>20</v>
      </c>
      <c r="C115" s="12" t="s">
        <v>29</v>
      </c>
      <c r="D115" s="12" t="s">
        <v>33</v>
      </c>
      <c r="E115" s="11">
        <v>809</v>
      </c>
      <c r="F115" s="12">
        <v>10</v>
      </c>
      <c r="G115" s="12">
        <v>125</v>
      </c>
      <c r="H115" s="7">
        <f t="shared" si="7"/>
        <v>101125</v>
      </c>
      <c r="I115" s="7">
        <f t="shared" si="4"/>
        <v>5056.25</v>
      </c>
      <c r="J115" s="7">
        <f t="shared" si="5"/>
        <v>96068.75</v>
      </c>
      <c r="K115" s="12">
        <v>97080</v>
      </c>
      <c r="L115" s="12">
        <f t="shared" si="6"/>
        <v>-1011.25</v>
      </c>
      <c r="M115" s="13">
        <v>41548</v>
      </c>
      <c r="N115" s="14"/>
      <c r="O115" s="12"/>
      <c r="P115" s="15"/>
    </row>
    <row r="116" spans="1:16" ht="15.75" customHeight="1" x14ac:dyDescent="0.3">
      <c r="A116" s="6" t="s">
        <v>26</v>
      </c>
      <c r="B116" s="6" t="s">
        <v>23</v>
      </c>
      <c r="C116" s="7" t="s">
        <v>29</v>
      </c>
      <c r="D116" s="7" t="s">
        <v>33</v>
      </c>
      <c r="E116" s="6">
        <v>2145</v>
      </c>
      <c r="F116" s="7">
        <v>10</v>
      </c>
      <c r="G116" s="7">
        <v>125</v>
      </c>
      <c r="H116" s="7">
        <f t="shared" si="7"/>
        <v>268125</v>
      </c>
      <c r="I116" s="7">
        <f t="shared" si="4"/>
        <v>13406.25</v>
      </c>
      <c r="J116" s="7">
        <f t="shared" si="5"/>
        <v>254718.75</v>
      </c>
      <c r="K116" s="7">
        <v>257400</v>
      </c>
      <c r="L116" s="12">
        <f t="shared" si="6"/>
        <v>-2681.25</v>
      </c>
      <c r="M116" s="8">
        <v>41548</v>
      </c>
      <c r="N116" s="9"/>
      <c r="O116" s="7"/>
      <c r="P116" s="10"/>
    </row>
    <row r="117" spans="1:16" ht="15.75" customHeight="1" x14ac:dyDescent="0.3">
      <c r="A117" s="11" t="s">
        <v>25</v>
      </c>
      <c r="B117" s="11" t="s">
        <v>22</v>
      </c>
      <c r="C117" s="12" t="s">
        <v>29</v>
      </c>
      <c r="D117" s="12" t="s">
        <v>33</v>
      </c>
      <c r="E117" s="11">
        <v>1785</v>
      </c>
      <c r="F117" s="12">
        <v>10</v>
      </c>
      <c r="G117" s="12">
        <v>12</v>
      </c>
      <c r="H117" s="7">
        <f t="shared" si="7"/>
        <v>21420</v>
      </c>
      <c r="I117" s="7">
        <f t="shared" si="4"/>
        <v>1071</v>
      </c>
      <c r="J117" s="7">
        <f t="shared" si="5"/>
        <v>20349</v>
      </c>
      <c r="K117" s="12">
        <v>5355</v>
      </c>
      <c r="L117" s="12">
        <f t="shared" si="6"/>
        <v>14994</v>
      </c>
      <c r="M117" s="13">
        <v>41579</v>
      </c>
      <c r="N117" s="14"/>
      <c r="O117" s="12"/>
      <c r="P117" s="15"/>
    </row>
    <row r="118" spans="1:16" ht="15.75" customHeight="1" x14ac:dyDescent="0.3">
      <c r="A118" s="6" t="s">
        <v>27</v>
      </c>
      <c r="B118" s="6" t="s">
        <v>17</v>
      </c>
      <c r="C118" s="7" t="s">
        <v>29</v>
      </c>
      <c r="D118" s="7" t="s">
        <v>33</v>
      </c>
      <c r="E118" s="6">
        <v>1916</v>
      </c>
      <c r="F118" s="7">
        <v>10</v>
      </c>
      <c r="G118" s="7">
        <v>300</v>
      </c>
      <c r="H118" s="7">
        <f t="shared" si="7"/>
        <v>574800</v>
      </c>
      <c r="I118" s="7">
        <f t="shared" si="4"/>
        <v>28740</v>
      </c>
      <c r="J118" s="7">
        <f t="shared" si="5"/>
        <v>546060</v>
      </c>
      <c r="K118" s="7">
        <v>479000</v>
      </c>
      <c r="L118" s="12">
        <f t="shared" si="6"/>
        <v>67060</v>
      </c>
      <c r="M118" s="8">
        <v>41974</v>
      </c>
      <c r="N118" s="9"/>
      <c r="O118" s="7"/>
      <c r="P118" s="10"/>
    </row>
    <row r="119" spans="1:16" ht="15.75" customHeight="1" x14ac:dyDescent="0.3">
      <c r="A119" s="11" t="s">
        <v>16</v>
      </c>
      <c r="B119" s="11" t="s">
        <v>17</v>
      </c>
      <c r="C119" s="12" t="s">
        <v>29</v>
      </c>
      <c r="D119" s="12" t="s">
        <v>33</v>
      </c>
      <c r="E119" s="11">
        <v>2852</v>
      </c>
      <c r="F119" s="12">
        <v>10</v>
      </c>
      <c r="G119" s="12">
        <v>350</v>
      </c>
      <c r="H119" s="7">
        <f t="shared" si="7"/>
        <v>998200</v>
      </c>
      <c r="I119" s="7">
        <f t="shared" si="4"/>
        <v>49910</v>
      </c>
      <c r="J119" s="7">
        <f t="shared" si="5"/>
        <v>948290</v>
      </c>
      <c r="K119" s="12">
        <v>741520</v>
      </c>
      <c r="L119" s="12">
        <f t="shared" si="6"/>
        <v>206770</v>
      </c>
      <c r="M119" s="13">
        <v>41974</v>
      </c>
      <c r="N119" s="14"/>
      <c r="O119" s="12"/>
      <c r="P119" s="15"/>
    </row>
    <row r="120" spans="1:16" ht="15.75" customHeight="1" x14ac:dyDescent="0.3">
      <c r="A120" s="6" t="s">
        <v>26</v>
      </c>
      <c r="B120" s="6" t="s">
        <v>17</v>
      </c>
      <c r="C120" s="7" t="s">
        <v>29</v>
      </c>
      <c r="D120" s="7" t="s">
        <v>33</v>
      </c>
      <c r="E120" s="6">
        <v>2729</v>
      </c>
      <c r="F120" s="7">
        <v>10</v>
      </c>
      <c r="G120" s="7">
        <v>125</v>
      </c>
      <c r="H120" s="7">
        <f t="shared" si="7"/>
        <v>341125</v>
      </c>
      <c r="I120" s="7">
        <f t="shared" si="4"/>
        <v>17056.25</v>
      </c>
      <c r="J120" s="7">
        <f t="shared" si="5"/>
        <v>324068.75</v>
      </c>
      <c r="K120" s="7">
        <v>327480</v>
      </c>
      <c r="L120" s="12">
        <f t="shared" si="6"/>
        <v>-3411.25</v>
      </c>
      <c r="M120" s="8">
        <v>41974</v>
      </c>
      <c r="N120" s="9"/>
      <c r="O120" s="7"/>
      <c r="P120" s="10"/>
    </row>
    <row r="121" spans="1:16" ht="15.75" customHeight="1" x14ac:dyDescent="0.3">
      <c r="A121" s="11" t="s">
        <v>21</v>
      </c>
      <c r="B121" s="11" t="s">
        <v>28</v>
      </c>
      <c r="C121" s="12" t="s">
        <v>29</v>
      </c>
      <c r="D121" s="12" t="s">
        <v>33</v>
      </c>
      <c r="E121" s="11">
        <v>1925</v>
      </c>
      <c r="F121" s="12">
        <v>10</v>
      </c>
      <c r="G121" s="12">
        <v>15</v>
      </c>
      <c r="H121" s="7">
        <f t="shared" si="7"/>
        <v>28875</v>
      </c>
      <c r="I121" s="7">
        <f t="shared" si="4"/>
        <v>1443.75</v>
      </c>
      <c r="J121" s="7">
        <f t="shared" si="5"/>
        <v>27431.25</v>
      </c>
      <c r="K121" s="12">
        <v>19250</v>
      </c>
      <c r="L121" s="12">
        <f t="shared" si="6"/>
        <v>8181.25</v>
      </c>
      <c r="M121" s="13">
        <v>41609</v>
      </c>
      <c r="N121" s="14"/>
      <c r="O121" s="12"/>
      <c r="P121" s="15"/>
    </row>
    <row r="122" spans="1:16" ht="15.75" customHeight="1" x14ac:dyDescent="0.3">
      <c r="A122" s="6" t="s">
        <v>16</v>
      </c>
      <c r="B122" s="6" t="s">
        <v>28</v>
      </c>
      <c r="C122" s="7" t="s">
        <v>29</v>
      </c>
      <c r="D122" s="7" t="s">
        <v>33</v>
      </c>
      <c r="E122" s="6">
        <v>2013</v>
      </c>
      <c r="F122" s="7">
        <v>10</v>
      </c>
      <c r="G122" s="7">
        <v>7</v>
      </c>
      <c r="H122" s="7">
        <f t="shared" si="7"/>
        <v>14091</v>
      </c>
      <c r="I122" s="7">
        <f t="shared" si="4"/>
        <v>704.55000000000007</v>
      </c>
      <c r="J122" s="7">
        <f t="shared" si="5"/>
        <v>13386.45</v>
      </c>
      <c r="K122" s="7">
        <v>10065</v>
      </c>
      <c r="L122" s="12">
        <f t="shared" si="6"/>
        <v>3321.4500000000007</v>
      </c>
      <c r="M122" s="8">
        <v>41609</v>
      </c>
      <c r="N122" s="9"/>
      <c r="O122" s="7"/>
      <c r="P122" s="10"/>
    </row>
    <row r="123" spans="1:16" ht="15.75" customHeight="1" x14ac:dyDescent="0.3">
      <c r="A123" s="11" t="s">
        <v>25</v>
      </c>
      <c r="B123" s="11" t="s">
        <v>22</v>
      </c>
      <c r="C123" s="12" t="s">
        <v>29</v>
      </c>
      <c r="D123" s="12" t="s">
        <v>33</v>
      </c>
      <c r="E123" s="11">
        <v>1055</v>
      </c>
      <c r="F123" s="12">
        <v>10</v>
      </c>
      <c r="G123" s="12">
        <v>12</v>
      </c>
      <c r="H123" s="7">
        <f t="shared" si="7"/>
        <v>12660</v>
      </c>
      <c r="I123" s="7">
        <f t="shared" si="4"/>
        <v>633</v>
      </c>
      <c r="J123" s="7">
        <f t="shared" si="5"/>
        <v>12027</v>
      </c>
      <c r="K123" s="12">
        <v>3165</v>
      </c>
      <c r="L123" s="12">
        <f t="shared" si="6"/>
        <v>8862</v>
      </c>
      <c r="M123" s="13">
        <v>41974</v>
      </c>
      <c r="N123" s="14"/>
      <c r="O123" s="12"/>
      <c r="P123" s="15"/>
    </row>
    <row r="124" spans="1:16" ht="15.75" customHeight="1" x14ac:dyDescent="0.3">
      <c r="A124" s="6" t="s">
        <v>25</v>
      </c>
      <c r="B124" s="6" t="s">
        <v>23</v>
      </c>
      <c r="C124" s="7" t="s">
        <v>29</v>
      </c>
      <c r="D124" s="7" t="s">
        <v>33</v>
      </c>
      <c r="E124" s="6">
        <v>1084</v>
      </c>
      <c r="F124" s="7">
        <v>10</v>
      </c>
      <c r="G124" s="7">
        <v>12</v>
      </c>
      <c r="H124" s="7">
        <f t="shared" si="7"/>
        <v>13008</v>
      </c>
      <c r="I124" s="7">
        <f t="shared" si="4"/>
        <v>650.40000000000009</v>
      </c>
      <c r="J124" s="7">
        <f t="shared" si="5"/>
        <v>12357.6</v>
      </c>
      <c r="K124" s="7">
        <v>3252</v>
      </c>
      <c r="L124" s="12">
        <f t="shared" si="6"/>
        <v>9105.6</v>
      </c>
      <c r="M124" s="8">
        <v>41974</v>
      </c>
      <c r="N124" s="9"/>
      <c r="O124" s="7"/>
      <c r="P124" s="10"/>
    </row>
    <row r="125" spans="1:16" ht="15.75" customHeight="1" x14ac:dyDescent="0.3">
      <c r="A125" s="11" t="s">
        <v>16</v>
      </c>
      <c r="B125" s="11" t="s">
        <v>28</v>
      </c>
      <c r="C125" s="12" t="s">
        <v>30</v>
      </c>
      <c r="D125" s="12" t="s">
        <v>33</v>
      </c>
      <c r="E125" s="11">
        <v>1566</v>
      </c>
      <c r="F125" s="12">
        <v>120</v>
      </c>
      <c r="G125" s="12">
        <v>20</v>
      </c>
      <c r="H125" s="7">
        <f t="shared" si="7"/>
        <v>31320</v>
      </c>
      <c r="I125" s="7">
        <f t="shared" si="4"/>
        <v>1566</v>
      </c>
      <c r="J125" s="7">
        <f t="shared" si="5"/>
        <v>29754</v>
      </c>
      <c r="K125" s="12">
        <v>15660</v>
      </c>
      <c r="L125" s="12">
        <f t="shared" si="6"/>
        <v>14094</v>
      </c>
      <c r="M125" s="13">
        <v>41913</v>
      </c>
      <c r="N125" s="14"/>
      <c r="O125" s="12"/>
      <c r="P125" s="15"/>
    </row>
    <row r="126" spans="1:16" ht="15.75" customHeight="1" x14ac:dyDescent="0.3">
      <c r="A126" s="6" t="s">
        <v>16</v>
      </c>
      <c r="B126" s="6" t="s">
        <v>20</v>
      </c>
      <c r="C126" s="7" t="s">
        <v>30</v>
      </c>
      <c r="D126" s="7" t="s">
        <v>33</v>
      </c>
      <c r="E126" s="6">
        <v>2966</v>
      </c>
      <c r="F126" s="7">
        <v>120</v>
      </c>
      <c r="G126" s="7">
        <v>350</v>
      </c>
      <c r="H126" s="7">
        <f t="shared" si="7"/>
        <v>1038100</v>
      </c>
      <c r="I126" s="7">
        <f t="shared" si="4"/>
        <v>51905</v>
      </c>
      <c r="J126" s="7">
        <f t="shared" si="5"/>
        <v>986195</v>
      </c>
      <c r="K126" s="7">
        <v>771160</v>
      </c>
      <c r="L126" s="12">
        <f t="shared" si="6"/>
        <v>215035</v>
      </c>
      <c r="M126" s="8">
        <v>41548</v>
      </c>
      <c r="N126" s="9"/>
      <c r="O126" s="7"/>
      <c r="P126" s="10"/>
    </row>
    <row r="127" spans="1:16" ht="15.75" customHeight="1" x14ac:dyDescent="0.3">
      <c r="A127" s="11" t="s">
        <v>16</v>
      </c>
      <c r="B127" s="11" t="s">
        <v>20</v>
      </c>
      <c r="C127" s="12" t="s">
        <v>30</v>
      </c>
      <c r="D127" s="12" t="s">
        <v>33</v>
      </c>
      <c r="E127" s="11">
        <v>2877</v>
      </c>
      <c r="F127" s="12">
        <v>120</v>
      </c>
      <c r="G127" s="12">
        <v>350</v>
      </c>
      <c r="H127" s="7">
        <f t="shared" si="7"/>
        <v>1006950</v>
      </c>
      <c r="I127" s="7">
        <f t="shared" si="4"/>
        <v>50347.5</v>
      </c>
      <c r="J127" s="7">
        <f t="shared" si="5"/>
        <v>956602.5</v>
      </c>
      <c r="K127" s="12">
        <v>748020</v>
      </c>
      <c r="L127" s="12">
        <f t="shared" si="6"/>
        <v>208582.5</v>
      </c>
      <c r="M127" s="13">
        <v>41913</v>
      </c>
      <c r="N127" s="14"/>
      <c r="O127" s="12"/>
      <c r="P127" s="15"/>
    </row>
    <row r="128" spans="1:16" ht="15.75" customHeight="1" x14ac:dyDescent="0.3">
      <c r="A128" s="6" t="s">
        <v>26</v>
      </c>
      <c r="B128" s="6" t="s">
        <v>20</v>
      </c>
      <c r="C128" s="7" t="s">
        <v>30</v>
      </c>
      <c r="D128" s="7" t="s">
        <v>33</v>
      </c>
      <c r="E128" s="6">
        <v>809</v>
      </c>
      <c r="F128" s="7">
        <v>120</v>
      </c>
      <c r="G128" s="7">
        <v>125</v>
      </c>
      <c r="H128" s="7">
        <f t="shared" si="7"/>
        <v>101125</v>
      </c>
      <c r="I128" s="7">
        <f t="shared" si="4"/>
        <v>5056.25</v>
      </c>
      <c r="J128" s="7">
        <f t="shared" si="5"/>
        <v>96068.75</v>
      </c>
      <c r="K128" s="7">
        <v>97080</v>
      </c>
      <c r="L128" s="12">
        <f t="shared" si="6"/>
        <v>-1011.25</v>
      </c>
      <c r="M128" s="8">
        <v>41548</v>
      </c>
      <c r="N128" s="9"/>
      <c r="O128" s="7"/>
      <c r="P128" s="10"/>
    </row>
    <row r="129" spans="1:16" ht="15.75" customHeight="1" x14ac:dyDescent="0.3">
      <c r="A129" s="11" t="s">
        <v>26</v>
      </c>
      <c r="B129" s="11" t="s">
        <v>23</v>
      </c>
      <c r="C129" s="12" t="s">
        <v>30</v>
      </c>
      <c r="D129" s="12" t="s">
        <v>33</v>
      </c>
      <c r="E129" s="11">
        <v>2145</v>
      </c>
      <c r="F129" s="12">
        <v>120</v>
      </c>
      <c r="G129" s="12">
        <v>125</v>
      </c>
      <c r="H129" s="7">
        <f t="shared" si="7"/>
        <v>268125</v>
      </c>
      <c r="I129" s="7">
        <f t="shared" si="4"/>
        <v>13406.25</v>
      </c>
      <c r="J129" s="7">
        <f t="shared" si="5"/>
        <v>254718.75</v>
      </c>
      <c r="K129" s="12">
        <v>257400</v>
      </c>
      <c r="L129" s="12">
        <f t="shared" si="6"/>
        <v>-2681.25</v>
      </c>
      <c r="M129" s="13">
        <v>41548</v>
      </c>
      <c r="N129" s="14"/>
      <c r="O129" s="12"/>
      <c r="P129" s="15"/>
    </row>
    <row r="130" spans="1:16" ht="15.75" customHeight="1" x14ac:dyDescent="0.3">
      <c r="A130" s="6" t="s">
        <v>25</v>
      </c>
      <c r="B130" s="6" t="s">
        <v>22</v>
      </c>
      <c r="C130" s="7" t="s">
        <v>30</v>
      </c>
      <c r="D130" s="7" t="s">
        <v>33</v>
      </c>
      <c r="E130" s="6">
        <v>1055</v>
      </c>
      <c r="F130" s="7">
        <v>120</v>
      </c>
      <c r="G130" s="7">
        <v>12</v>
      </c>
      <c r="H130" s="7">
        <f t="shared" si="7"/>
        <v>12660</v>
      </c>
      <c r="I130" s="7">
        <f t="shared" si="4"/>
        <v>633</v>
      </c>
      <c r="J130" s="7">
        <f t="shared" si="5"/>
        <v>12027</v>
      </c>
      <c r="K130" s="7">
        <v>3165</v>
      </c>
      <c r="L130" s="12">
        <f t="shared" si="6"/>
        <v>8862</v>
      </c>
      <c r="M130" s="8">
        <v>41974</v>
      </c>
      <c r="N130" s="9"/>
      <c r="O130" s="7"/>
      <c r="P130" s="10"/>
    </row>
    <row r="131" spans="1:16" ht="15.75" customHeight="1" x14ac:dyDescent="0.3">
      <c r="A131" s="11" t="s">
        <v>16</v>
      </c>
      <c r="B131" s="11" t="s">
        <v>23</v>
      </c>
      <c r="C131" s="12" t="s">
        <v>30</v>
      </c>
      <c r="D131" s="12" t="s">
        <v>33</v>
      </c>
      <c r="E131" s="11">
        <v>544</v>
      </c>
      <c r="F131" s="12">
        <v>120</v>
      </c>
      <c r="G131" s="12">
        <v>20</v>
      </c>
      <c r="H131" s="7">
        <f t="shared" si="7"/>
        <v>10880</v>
      </c>
      <c r="I131" s="7">
        <f t="shared" ref="I131:I194" si="8">IF(D131="None", 0, IF(D131="Low", H131*0.05, IF(D131="Medium", H131*0.1, IF(D131="High", H131*0.15, 0))))</f>
        <v>544</v>
      </c>
      <c r="J131" s="7">
        <f t="shared" ref="J131:J194" si="9">H131-I131</f>
        <v>10336</v>
      </c>
      <c r="K131" s="12">
        <v>5440</v>
      </c>
      <c r="L131" s="12">
        <f t="shared" si="6"/>
        <v>4896</v>
      </c>
      <c r="M131" s="13">
        <v>41609</v>
      </c>
      <c r="N131" s="14"/>
      <c r="O131" s="12"/>
      <c r="P131" s="15"/>
    </row>
    <row r="132" spans="1:16" ht="15.75" customHeight="1" x14ac:dyDescent="0.3">
      <c r="A132" s="6" t="s">
        <v>25</v>
      </c>
      <c r="B132" s="6" t="s">
        <v>23</v>
      </c>
      <c r="C132" s="7" t="s">
        <v>30</v>
      </c>
      <c r="D132" s="7" t="s">
        <v>33</v>
      </c>
      <c r="E132" s="6">
        <v>1084</v>
      </c>
      <c r="F132" s="7">
        <v>120</v>
      </c>
      <c r="G132" s="7">
        <v>12</v>
      </c>
      <c r="H132" s="7">
        <f t="shared" si="7"/>
        <v>13008</v>
      </c>
      <c r="I132" s="7">
        <f t="shared" si="8"/>
        <v>650.40000000000009</v>
      </c>
      <c r="J132" s="7">
        <f t="shared" si="9"/>
        <v>12357.6</v>
      </c>
      <c r="K132" s="7">
        <v>3252</v>
      </c>
      <c r="L132" s="12">
        <f t="shared" ref="L132:L195" si="10">J132-K132</f>
        <v>9105.6</v>
      </c>
      <c r="M132" s="8">
        <v>41974</v>
      </c>
      <c r="N132" s="9"/>
      <c r="O132" s="7"/>
      <c r="P132" s="10"/>
    </row>
    <row r="133" spans="1:16" ht="15.75" customHeight="1" x14ac:dyDescent="0.3">
      <c r="A133" s="11" t="s">
        <v>26</v>
      </c>
      <c r="B133" s="11" t="s">
        <v>23</v>
      </c>
      <c r="C133" s="12" t="s">
        <v>31</v>
      </c>
      <c r="D133" s="12" t="s">
        <v>33</v>
      </c>
      <c r="E133" s="11">
        <v>662</v>
      </c>
      <c r="F133" s="12">
        <v>250</v>
      </c>
      <c r="G133" s="12">
        <v>125</v>
      </c>
      <c r="H133" s="7">
        <f t="shared" ref="H133:H196" si="11">E133*G133</f>
        <v>82750</v>
      </c>
      <c r="I133" s="7">
        <f t="shared" si="8"/>
        <v>4137.5</v>
      </c>
      <c r="J133" s="7">
        <f t="shared" si="9"/>
        <v>78612.5</v>
      </c>
      <c r="K133" s="12">
        <v>79440</v>
      </c>
      <c r="L133" s="12">
        <f t="shared" si="10"/>
        <v>-827.5</v>
      </c>
      <c r="M133" s="13">
        <v>41791</v>
      </c>
      <c r="N133" s="14"/>
      <c r="O133" s="12"/>
      <c r="P133" s="15"/>
    </row>
    <row r="134" spans="1:16" ht="15.75" customHeight="1" x14ac:dyDescent="0.3">
      <c r="A134" s="6" t="s">
        <v>27</v>
      </c>
      <c r="B134" s="6" t="s">
        <v>20</v>
      </c>
      <c r="C134" s="7" t="s">
        <v>31</v>
      </c>
      <c r="D134" s="7" t="s">
        <v>33</v>
      </c>
      <c r="E134" s="6">
        <v>214</v>
      </c>
      <c r="F134" s="7">
        <v>250</v>
      </c>
      <c r="G134" s="7">
        <v>300</v>
      </c>
      <c r="H134" s="7">
        <f t="shared" si="11"/>
        <v>64200</v>
      </c>
      <c r="I134" s="7">
        <f t="shared" si="8"/>
        <v>3210</v>
      </c>
      <c r="J134" s="7">
        <f t="shared" si="9"/>
        <v>60990</v>
      </c>
      <c r="K134" s="7">
        <v>53500</v>
      </c>
      <c r="L134" s="12">
        <f t="shared" si="10"/>
        <v>7490</v>
      </c>
      <c r="M134" s="8">
        <v>41548</v>
      </c>
      <c r="N134" s="9"/>
      <c r="O134" s="7"/>
      <c r="P134" s="10"/>
    </row>
    <row r="135" spans="1:16" ht="15.75" customHeight="1" x14ac:dyDescent="0.3">
      <c r="A135" s="11" t="s">
        <v>16</v>
      </c>
      <c r="B135" s="11" t="s">
        <v>20</v>
      </c>
      <c r="C135" s="12" t="s">
        <v>31</v>
      </c>
      <c r="D135" s="12" t="s">
        <v>33</v>
      </c>
      <c r="E135" s="11">
        <v>2877</v>
      </c>
      <c r="F135" s="12">
        <v>250</v>
      </c>
      <c r="G135" s="12">
        <v>350</v>
      </c>
      <c r="H135" s="7">
        <f t="shared" si="11"/>
        <v>1006950</v>
      </c>
      <c r="I135" s="7">
        <f t="shared" si="8"/>
        <v>50347.5</v>
      </c>
      <c r="J135" s="7">
        <f t="shared" si="9"/>
        <v>956602.5</v>
      </c>
      <c r="K135" s="12">
        <v>748020</v>
      </c>
      <c r="L135" s="12">
        <f t="shared" si="10"/>
        <v>208582.5</v>
      </c>
      <c r="M135" s="13">
        <v>41913</v>
      </c>
      <c r="N135" s="14"/>
      <c r="O135" s="12"/>
      <c r="P135" s="15"/>
    </row>
    <row r="136" spans="1:16" ht="15.75" customHeight="1" x14ac:dyDescent="0.3">
      <c r="A136" s="6" t="s">
        <v>26</v>
      </c>
      <c r="B136" s="6" t="s">
        <v>17</v>
      </c>
      <c r="C136" s="7" t="s">
        <v>31</v>
      </c>
      <c r="D136" s="7" t="s">
        <v>33</v>
      </c>
      <c r="E136" s="6">
        <v>2729</v>
      </c>
      <c r="F136" s="7">
        <v>250</v>
      </c>
      <c r="G136" s="7">
        <v>125</v>
      </c>
      <c r="H136" s="7">
        <f t="shared" si="11"/>
        <v>341125</v>
      </c>
      <c r="I136" s="7">
        <f t="shared" si="8"/>
        <v>17056.25</v>
      </c>
      <c r="J136" s="7">
        <f t="shared" si="9"/>
        <v>324068.75</v>
      </c>
      <c r="K136" s="7">
        <v>327480</v>
      </c>
      <c r="L136" s="12">
        <f t="shared" si="10"/>
        <v>-3411.25</v>
      </c>
      <c r="M136" s="8">
        <v>41974</v>
      </c>
      <c r="N136" s="9"/>
      <c r="O136" s="7"/>
      <c r="P136" s="10"/>
    </row>
    <row r="137" spans="1:16" ht="15.75" customHeight="1" x14ac:dyDescent="0.3">
      <c r="A137" s="11" t="s">
        <v>16</v>
      </c>
      <c r="B137" s="11" t="s">
        <v>28</v>
      </c>
      <c r="C137" s="12" t="s">
        <v>31</v>
      </c>
      <c r="D137" s="12" t="s">
        <v>33</v>
      </c>
      <c r="E137" s="11">
        <v>266</v>
      </c>
      <c r="F137" s="12">
        <v>250</v>
      </c>
      <c r="G137" s="12">
        <v>350</v>
      </c>
      <c r="H137" s="7">
        <f t="shared" si="11"/>
        <v>93100</v>
      </c>
      <c r="I137" s="7">
        <f t="shared" si="8"/>
        <v>4655</v>
      </c>
      <c r="J137" s="7">
        <f t="shared" si="9"/>
        <v>88445</v>
      </c>
      <c r="K137" s="12">
        <v>69160</v>
      </c>
      <c r="L137" s="12">
        <f t="shared" si="10"/>
        <v>19285</v>
      </c>
      <c r="M137" s="13">
        <v>41609</v>
      </c>
      <c r="N137" s="14"/>
      <c r="O137" s="12"/>
      <c r="P137" s="15"/>
    </row>
    <row r="138" spans="1:16" ht="15.75" customHeight="1" x14ac:dyDescent="0.3">
      <c r="A138" s="6" t="s">
        <v>16</v>
      </c>
      <c r="B138" s="6" t="s">
        <v>23</v>
      </c>
      <c r="C138" s="7" t="s">
        <v>31</v>
      </c>
      <c r="D138" s="7" t="s">
        <v>33</v>
      </c>
      <c r="E138" s="6">
        <v>1940</v>
      </c>
      <c r="F138" s="7">
        <v>250</v>
      </c>
      <c r="G138" s="7">
        <v>350</v>
      </c>
      <c r="H138" s="7">
        <f t="shared" si="11"/>
        <v>679000</v>
      </c>
      <c r="I138" s="7">
        <f t="shared" si="8"/>
        <v>33950</v>
      </c>
      <c r="J138" s="7">
        <f t="shared" si="9"/>
        <v>645050</v>
      </c>
      <c r="K138" s="7">
        <v>504400</v>
      </c>
      <c r="L138" s="12">
        <f t="shared" si="10"/>
        <v>140650</v>
      </c>
      <c r="M138" s="8">
        <v>41609</v>
      </c>
      <c r="N138" s="9"/>
      <c r="O138" s="7"/>
      <c r="P138" s="10"/>
    </row>
    <row r="139" spans="1:16" ht="15.75" customHeight="1" x14ac:dyDescent="0.3">
      <c r="A139" s="11" t="s">
        <v>27</v>
      </c>
      <c r="B139" s="11" t="s">
        <v>20</v>
      </c>
      <c r="C139" s="12" t="s">
        <v>32</v>
      </c>
      <c r="D139" s="12" t="s">
        <v>33</v>
      </c>
      <c r="E139" s="11">
        <v>259</v>
      </c>
      <c r="F139" s="12">
        <v>260</v>
      </c>
      <c r="G139" s="12">
        <v>300</v>
      </c>
      <c r="H139" s="7">
        <f t="shared" si="11"/>
        <v>77700</v>
      </c>
      <c r="I139" s="7">
        <f t="shared" si="8"/>
        <v>3885</v>
      </c>
      <c r="J139" s="7">
        <f t="shared" si="9"/>
        <v>73815</v>
      </c>
      <c r="K139" s="12">
        <v>64750</v>
      </c>
      <c r="L139" s="12">
        <f t="shared" si="10"/>
        <v>9065</v>
      </c>
      <c r="M139" s="13">
        <v>41699</v>
      </c>
      <c r="N139" s="14"/>
      <c r="O139" s="12"/>
      <c r="P139" s="15"/>
    </row>
    <row r="140" spans="1:16" ht="15.75" customHeight="1" x14ac:dyDescent="0.3">
      <c r="A140" s="6" t="s">
        <v>27</v>
      </c>
      <c r="B140" s="6" t="s">
        <v>23</v>
      </c>
      <c r="C140" s="7" t="s">
        <v>32</v>
      </c>
      <c r="D140" s="7" t="s">
        <v>33</v>
      </c>
      <c r="E140" s="6">
        <v>1101</v>
      </c>
      <c r="F140" s="7">
        <v>260</v>
      </c>
      <c r="G140" s="7">
        <v>300</v>
      </c>
      <c r="H140" s="7">
        <f t="shared" si="11"/>
        <v>330300</v>
      </c>
      <c r="I140" s="7">
        <f t="shared" si="8"/>
        <v>16515</v>
      </c>
      <c r="J140" s="7">
        <f t="shared" si="9"/>
        <v>313785</v>
      </c>
      <c r="K140" s="7">
        <v>275250</v>
      </c>
      <c r="L140" s="12">
        <f t="shared" si="10"/>
        <v>38535</v>
      </c>
      <c r="M140" s="8">
        <v>41699</v>
      </c>
      <c r="N140" s="9"/>
      <c r="O140" s="7"/>
      <c r="P140" s="10"/>
    </row>
    <row r="141" spans="1:16" ht="15.75" customHeight="1" x14ac:dyDescent="0.3">
      <c r="A141" s="11" t="s">
        <v>26</v>
      </c>
      <c r="B141" s="11" t="s">
        <v>20</v>
      </c>
      <c r="C141" s="12" t="s">
        <v>32</v>
      </c>
      <c r="D141" s="12" t="s">
        <v>33</v>
      </c>
      <c r="E141" s="11">
        <v>2276</v>
      </c>
      <c r="F141" s="12">
        <v>260</v>
      </c>
      <c r="G141" s="12">
        <v>125</v>
      </c>
      <c r="H141" s="7">
        <f t="shared" si="11"/>
        <v>284500</v>
      </c>
      <c r="I141" s="7">
        <f t="shared" si="8"/>
        <v>14225</v>
      </c>
      <c r="J141" s="7">
        <f t="shared" si="9"/>
        <v>270275</v>
      </c>
      <c r="K141" s="12">
        <v>273120</v>
      </c>
      <c r="L141" s="12">
        <f t="shared" si="10"/>
        <v>-2845</v>
      </c>
      <c r="M141" s="13">
        <v>41760</v>
      </c>
      <c r="N141" s="14"/>
      <c r="O141" s="12"/>
      <c r="P141" s="15"/>
    </row>
    <row r="142" spans="1:16" ht="15.75" customHeight="1" x14ac:dyDescent="0.3">
      <c r="A142" s="6" t="s">
        <v>16</v>
      </c>
      <c r="B142" s="6" t="s">
        <v>20</v>
      </c>
      <c r="C142" s="7" t="s">
        <v>32</v>
      </c>
      <c r="D142" s="7" t="s">
        <v>33</v>
      </c>
      <c r="E142" s="6">
        <v>2966</v>
      </c>
      <c r="F142" s="7">
        <v>260</v>
      </c>
      <c r="G142" s="7">
        <v>350</v>
      </c>
      <c r="H142" s="7">
        <f t="shared" si="11"/>
        <v>1038100</v>
      </c>
      <c r="I142" s="7">
        <f t="shared" si="8"/>
        <v>51905</v>
      </c>
      <c r="J142" s="7">
        <f t="shared" si="9"/>
        <v>986195</v>
      </c>
      <c r="K142" s="7">
        <v>771160</v>
      </c>
      <c r="L142" s="12">
        <f t="shared" si="10"/>
        <v>215035</v>
      </c>
      <c r="M142" s="8">
        <v>41548</v>
      </c>
      <c r="N142" s="9"/>
      <c r="O142" s="7"/>
      <c r="P142" s="10"/>
    </row>
    <row r="143" spans="1:16" ht="15.75" customHeight="1" x14ac:dyDescent="0.3">
      <c r="A143" s="11" t="s">
        <v>16</v>
      </c>
      <c r="B143" s="11" t="s">
        <v>28</v>
      </c>
      <c r="C143" s="12" t="s">
        <v>32</v>
      </c>
      <c r="D143" s="12" t="s">
        <v>33</v>
      </c>
      <c r="E143" s="11">
        <v>1236</v>
      </c>
      <c r="F143" s="12">
        <v>260</v>
      </c>
      <c r="G143" s="12">
        <v>20</v>
      </c>
      <c r="H143" s="7">
        <f t="shared" si="11"/>
        <v>24720</v>
      </c>
      <c r="I143" s="7">
        <f t="shared" si="8"/>
        <v>1236</v>
      </c>
      <c r="J143" s="7">
        <f t="shared" si="9"/>
        <v>23484</v>
      </c>
      <c r="K143" s="12">
        <v>12360</v>
      </c>
      <c r="L143" s="12">
        <f t="shared" si="10"/>
        <v>11124</v>
      </c>
      <c r="M143" s="13">
        <v>41944</v>
      </c>
      <c r="N143" s="14"/>
      <c r="O143" s="12"/>
      <c r="P143" s="15"/>
    </row>
    <row r="144" spans="1:16" ht="15.75" customHeight="1" x14ac:dyDescent="0.3">
      <c r="A144" s="6" t="s">
        <v>16</v>
      </c>
      <c r="B144" s="6" t="s">
        <v>22</v>
      </c>
      <c r="C144" s="7" t="s">
        <v>32</v>
      </c>
      <c r="D144" s="7" t="s">
        <v>33</v>
      </c>
      <c r="E144" s="6">
        <v>941</v>
      </c>
      <c r="F144" s="7">
        <v>260</v>
      </c>
      <c r="G144" s="7">
        <v>20</v>
      </c>
      <c r="H144" s="7">
        <f t="shared" si="11"/>
        <v>18820</v>
      </c>
      <c r="I144" s="7">
        <f t="shared" si="8"/>
        <v>941</v>
      </c>
      <c r="J144" s="7">
        <f t="shared" si="9"/>
        <v>17879</v>
      </c>
      <c r="K144" s="7">
        <v>9410</v>
      </c>
      <c r="L144" s="12">
        <f t="shared" si="10"/>
        <v>8469</v>
      </c>
      <c r="M144" s="8">
        <v>41944</v>
      </c>
      <c r="N144" s="9"/>
      <c r="O144" s="7"/>
      <c r="P144" s="10"/>
    </row>
    <row r="145" spans="1:16" ht="15.75" customHeight="1" x14ac:dyDescent="0.3">
      <c r="A145" s="11" t="s">
        <v>27</v>
      </c>
      <c r="B145" s="11" t="s">
        <v>17</v>
      </c>
      <c r="C145" s="12" t="s">
        <v>32</v>
      </c>
      <c r="D145" s="12" t="s">
        <v>33</v>
      </c>
      <c r="E145" s="11">
        <v>1916</v>
      </c>
      <c r="F145" s="12">
        <v>260</v>
      </c>
      <c r="G145" s="12">
        <v>300</v>
      </c>
      <c r="H145" s="7">
        <f t="shared" si="11"/>
        <v>574800</v>
      </c>
      <c r="I145" s="7">
        <f t="shared" si="8"/>
        <v>28740</v>
      </c>
      <c r="J145" s="7">
        <f t="shared" si="9"/>
        <v>546060</v>
      </c>
      <c r="K145" s="12">
        <v>479000</v>
      </c>
      <c r="L145" s="12">
        <f t="shared" si="10"/>
        <v>67060</v>
      </c>
      <c r="M145" s="13">
        <v>41974</v>
      </c>
      <c r="N145" s="14"/>
      <c r="O145" s="12"/>
      <c r="P145" s="15"/>
    </row>
    <row r="146" spans="1:16" ht="15.75" customHeight="1" x14ac:dyDescent="0.3">
      <c r="A146" s="6" t="s">
        <v>26</v>
      </c>
      <c r="B146" s="6" t="s">
        <v>22</v>
      </c>
      <c r="C146" s="7" t="s">
        <v>18</v>
      </c>
      <c r="D146" s="7" t="s">
        <v>33</v>
      </c>
      <c r="E146" s="6">
        <v>4243.5</v>
      </c>
      <c r="F146" s="7">
        <v>3</v>
      </c>
      <c r="G146" s="7">
        <v>125</v>
      </c>
      <c r="H146" s="7">
        <f t="shared" si="11"/>
        <v>530437.5</v>
      </c>
      <c r="I146" s="7">
        <f t="shared" si="8"/>
        <v>26521.875</v>
      </c>
      <c r="J146" s="7">
        <f t="shared" si="9"/>
        <v>503915.625</v>
      </c>
      <c r="K146" s="7">
        <v>509220</v>
      </c>
      <c r="L146" s="12">
        <f t="shared" si="10"/>
        <v>-5304.375</v>
      </c>
      <c r="M146" s="8">
        <v>41730</v>
      </c>
      <c r="N146" s="9"/>
      <c r="O146" s="7"/>
      <c r="P146" s="10"/>
    </row>
    <row r="147" spans="1:16" ht="15.75" customHeight="1" x14ac:dyDescent="0.3">
      <c r="A147" s="11" t="s">
        <v>16</v>
      </c>
      <c r="B147" s="11" t="s">
        <v>20</v>
      </c>
      <c r="C147" s="12" t="s">
        <v>18</v>
      </c>
      <c r="D147" s="12" t="s">
        <v>33</v>
      </c>
      <c r="E147" s="11">
        <v>2580</v>
      </c>
      <c r="F147" s="12">
        <v>3</v>
      </c>
      <c r="G147" s="12">
        <v>20</v>
      </c>
      <c r="H147" s="7">
        <f t="shared" si="11"/>
        <v>51600</v>
      </c>
      <c r="I147" s="7">
        <f t="shared" si="8"/>
        <v>2580</v>
      </c>
      <c r="J147" s="7">
        <f t="shared" si="9"/>
        <v>49020</v>
      </c>
      <c r="K147" s="12">
        <v>25800</v>
      </c>
      <c r="L147" s="12">
        <f t="shared" si="10"/>
        <v>23220</v>
      </c>
      <c r="M147" s="13">
        <v>41730</v>
      </c>
      <c r="N147" s="14"/>
      <c r="O147" s="12"/>
      <c r="P147" s="15"/>
    </row>
    <row r="148" spans="1:16" ht="15.75" customHeight="1" x14ac:dyDescent="0.3">
      <c r="A148" s="6" t="s">
        <v>27</v>
      </c>
      <c r="B148" s="6" t="s">
        <v>20</v>
      </c>
      <c r="C148" s="7" t="s">
        <v>18</v>
      </c>
      <c r="D148" s="7" t="s">
        <v>33</v>
      </c>
      <c r="E148" s="6">
        <v>689</v>
      </c>
      <c r="F148" s="7">
        <v>3</v>
      </c>
      <c r="G148" s="7">
        <v>300</v>
      </c>
      <c r="H148" s="7">
        <f t="shared" si="11"/>
        <v>206700</v>
      </c>
      <c r="I148" s="7">
        <f t="shared" si="8"/>
        <v>10335</v>
      </c>
      <c r="J148" s="7">
        <f t="shared" si="9"/>
        <v>196365</v>
      </c>
      <c r="K148" s="7">
        <v>172250</v>
      </c>
      <c r="L148" s="12">
        <f t="shared" si="10"/>
        <v>24115</v>
      </c>
      <c r="M148" s="8">
        <v>41791</v>
      </c>
      <c r="N148" s="9"/>
      <c r="O148" s="7"/>
      <c r="P148" s="10"/>
    </row>
    <row r="149" spans="1:16" ht="15.75" customHeight="1" x14ac:dyDescent="0.3">
      <c r="A149" s="11" t="s">
        <v>25</v>
      </c>
      <c r="B149" s="11" t="s">
        <v>28</v>
      </c>
      <c r="C149" s="12" t="s">
        <v>18</v>
      </c>
      <c r="D149" s="12" t="s">
        <v>33</v>
      </c>
      <c r="E149" s="11">
        <v>1947</v>
      </c>
      <c r="F149" s="12">
        <v>3</v>
      </c>
      <c r="G149" s="12">
        <v>12</v>
      </c>
      <c r="H149" s="7">
        <f t="shared" si="11"/>
        <v>23364</v>
      </c>
      <c r="I149" s="7">
        <f t="shared" si="8"/>
        <v>1168.2</v>
      </c>
      <c r="J149" s="7">
        <f t="shared" si="9"/>
        <v>22195.8</v>
      </c>
      <c r="K149" s="12">
        <v>5841</v>
      </c>
      <c r="L149" s="12">
        <f t="shared" si="10"/>
        <v>16354.8</v>
      </c>
      <c r="M149" s="13">
        <v>41883</v>
      </c>
      <c r="N149" s="14"/>
      <c r="O149" s="12"/>
      <c r="P149" s="15"/>
    </row>
    <row r="150" spans="1:16" ht="15.75" customHeight="1" x14ac:dyDescent="0.3">
      <c r="A150" s="6" t="s">
        <v>25</v>
      </c>
      <c r="B150" s="6" t="s">
        <v>17</v>
      </c>
      <c r="C150" s="7" t="s">
        <v>18</v>
      </c>
      <c r="D150" s="7" t="s">
        <v>33</v>
      </c>
      <c r="E150" s="6">
        <v>908</v>
      </c>
      <c r="F150" s="7">
        <v>3</v>
      </c>
      <c r="G150" s="7">
        <v>12</v>
      </c>
      <c r="H150" s="7">
        <f t="shared" si="11"/>
        <v>10896</v>
      </c>
      <c r="I150" s="7">
        <f t="shared" si="8"/>
        <v>544.80000000000007</v>
      </c>
      <c r="J150" s="7">
        <f t="shared" si="9"/>
        <v>10351.200000000001</v>
      </c>
      <c r="K150" s="7">
        <v>2724</v>
      </c>
      <c r="L150" s="12">
        <f t="shared" si="10"/>
        <v>7627.2000000000007</v>
      </c>
      <c r="M150" s="8">
        <v>41609</v>
      </c>
      <c r="N150" s="9"/>
      <c r="O150" s="7"/>
      <c r="P150" s="10"/>
    </row>
    <row r="151" spans="1:16" ht="15.75" customHeight="1" x14ac:dyDescent="0.3">
      <c r="A151" s="11" t="s">
        <v>16</v>
      </c>
      <c r="B151" s="11" t="s">
        <v>20</v>
      </c>
      <c r="C151" s="12" t="s">
        <v>24</v>
      </c>
      <c r="D151" s="12" t="s">
        <v>33</v>
      </c>
      <c r="E151" s="11">
        <v>1958</v>
      </c>
      <c r="F151" s="12">
        <v>5</v>
      </c>
      <c r="G151" s="12">
        <v>7</v>
      </c>
      <c r="H151" s="7">
        <f t="shared" si="11"/>
        <v>13706</v>
      </c>
      <c r="I151" s="7">
        <f t="shared" si="8"/>
        <v>685.30000000000007</v>
      </c>
      <c r="J151" s="7">
        <f t="shared" si="9"/>
        <v>13020.7</v>
      </c>
      <c r="K151" s="12">
        <v>9790</v>
      </c>
      <c r="L151" s="12">
        <f t="shared" si="10"/>
        <v>3230.7000000000007</v>
      </c>
      <c r="M151" s="13">
        <v>41671</v>
      </c>
      <c r="N151" s="14"/>
      <c r="O151" s="12"/>
      <c r="P151" s="15"/>
    </row>
    <row r="152" spans="1:16" ht="15.75" customHeight="1" x14ac:dyDescent="0.3">
      <c r="A152" s="6" t="s">
        <v>25</v>
      </c>
      <c r="B152" s="6" t="s">
        <v>22</v>
      </c>
      <c r="C152" s="7" t="s">
        <v>24</v>
      </c>
      <c r="D152" s="7" t="s">
        <v>33</v>
      </c>
      <c r="E152" s="6">
        <v>1901</v>
      </c>
      <c r="F152" s="7">
        <v>5</v>
      </c>
      <c r="G152" s="7">
        <v>12</v>
      </c>
      <c r="H152" s="7">
        <f t="shared" si="11"/>
        <v>22812</v>
      </c>
      <c r="I152" s="7">
        <f t="shared" si="8"/>
        <v>1140.6000000000001</v>
      </c>
      <c r="J152" s="7">
        <f t="shared" si="9"/>
        <v>21671.4</v>
      </c>
      <c r="K152" s="7">
        <v>5703</v>
      </c>
      <c r="L152" s="12">
        <f t="shared" si="10"/>
        <v>15968.400000000001</v>
      </c>
      <c r="M152" s="8">
        <v>41791</v>
      </c>
      <c r="N152" s="9"/>
      <c r="O152" s="7"/>
      <c r="P152" s="10"/>
    </row>
    <row r="153" spans="1:16" ht="15.75" customHeight="1" x14ac:dyDescent="0.3">
      <c r="A153" s="11" t="s">
        <v>16</v>
      </c>
      <c r="B153" s="11" t="s">
        <v>22</v>
      </c>
      <c r="C153" s="12" t="s">
        <v>24</v>
      </c>
      <c r="D153" s="12" t="s">
        <v>33</v>
      </c>
      <c r="E153" s="11">
        <v>544</v>
      </c>
      <c r="F153" s="12">
        <v>5</v>
      </c>
      <c r="G153" s="12">
        <v>7</v>
      </c>
      <c r="H153" s="7">
        <f t="shared" si="11"/>
        <v>3808</v>
      </c>
      <c r="I153" s="7">
        <f t="shared" si="8"/>
        <v>190.4</v>
      </c>
      <c r="J153" s="7">
        <f t="shared" si="9"/>
        <v>3617.6</v>
      </c>
      <c r="K153" s="12">
        <v>2720</v>
      </c>
      <c r="L153" s="12">
        <f t="shared" si="10"/>
        <v>897.59999999999991</v>
      </c>
      <c r="M153" s="13">
        <v>41883</v>
      </c>
      <c r="N153" s="14"/>
      <c r="O153" s="12"/>
      <c r="P153" s="15"/>
    </row>
    <row r="154" spans="1:16" ht="15.75" customHeight="1" x14ac:dyDescent="0.3">
      <c r="A154" s="6" t="s">
        <v>16</v>
      </c>
      <c r="B154" s="6" t="s">
        <v>20</v>
      </c>
      <c r="C154" s="7" t="s">
        <v>24</v>
      </c>
      <c r="D154" s="7" t="s">
        <v>33</v>
      </c>
      <c r="E154" s="6">
        <v>1797</v>
      </c>
      <c r="F154" s="7">
        <v>5</v>
      </c>
      <c r="G154" s="7">
        <v>350</v>
      </c>
      <c r="H154" s="7">
        <f t="shared" si="11"/>
        <v>628950</v>
      </c>
      <c r="I154" s="7">
        <f t="shared" si="8"/>
        <v>31447.5</v>
      </c>
      <c r="J154" s="7">
        <f t="shared" si="9"/>
        <v>597502.5</v>
      </c>
      <c r="K154" s="7">
        <v>467220</v>
      </c>
      <c r="L154" s="12">
        <f t="shared" si="10"/>
        <v>130282.5</v>
      </c>
      <c r="M154" s="8">
        <v>41518</v>
      </c>
      <c r="N154" s="9"/>
      <c r="O154" s="7"/>
      <c r="P154" s="10"/>
    </row>
    <row r="155" spans="1:16" ht="15.75" customHeight="1" x14ac:dyDescent="0.3">
      <c r="A155" s="11" t="s">
        <v>26</v>
      </c>
      <c r="B155" s="11" t="s">
        <v>22</v>
      </c>
      <c r="C155" s="12" t="s">
        <v>24</v>
      </c>
      <c r="D155" s="12" t="s">
        <v>33</v>
      </c>
      <c r="E155" s="11">
        <v>1287</v>
      </c>
      <c r="F155" s="12">
        <v>5</v>
      </c>
      <c r="G155" s="12">
        <v>125</v>
      </c>
      <c r="H155" s="7">
        <f t="shared" si="11"/>
        <v>160875</v>
      </c>
      <c r="I155" s="7">
        <f t="shared" si="8"/>
        <v>8043.75</v>
      </c>
      <c r="J155" s="7">
        <f t="shared" si="9"/>
        <v>152831.25</v>
      </c>
      <c r="K155" s="12">
        <v>154440</v>
      </c>
      <c r="L155" s="12">
        <f t="shared" si="10"/>
        <v>-1608.75</v>
      </c>
      <c r="M155" s="13">
        <v>41974</v>
      </c>
      <c r="N155" s="14"/>
      <c r="O155" s="12"/>
      <c r="P155" s="15"/>
    </row>
    <row r="156" spans="1:16" ht="15.75" customHeight="1" x14ac:dyDescent="0.3">
      <c r="A156" s="6" t="s">
        <v>26</v>
      </c>
      <c r="B156" s="6" t="s">
        <v>20</v>
      </c>
      <c r="C156" s="7" t="s">
        <v>24</v>
      </c>
      <c r="D156" s="7" t="s">
        <v>33</v>
      </c>
      <c r="E156" s="6">
        <v>1706</v>
      </c>
      <c r="F156" s="7">
        <v>5</v>
      </c>
      <c r="G156" s="7">
        <v>125</v>
      </c>
      <c r="H156" s="7">
        <f t="shared" si="11"/>
        <v>213250</v>
      </c>
      <c r="I156" s="7">
        <f t="shared" si="8"/>
        <v>10662.5</v>
      </c>
      <c r="J156" s="7">
        <f t="shared" si="9"/>
        <v>202587.5</v>
      </c>
      <c r="K156" s="7">
        <v>204720</v>
      </c>
      <c r="L156" s="12">
        <f t="shared" si="10"/>
        <v>-2132.5</v>
      </c>
      <c r="M156" s="8">
        <v>41974</v>
      </c>
      <c r="N156" s="9"/>
      <c r="O156" s="7"/>
      <c r="P156" s="10"/>
    </row>
    <row r="157" spans="1:16" ht="15.75" customHeight="1" x14ac:dyDescent="0.3">
      <c r="A157" s="11" t="s">
        <v>27</v>
      </c>
      <c r="B157" s="11" t="s">
        <v>22</v>
      </c>
      <c r="C157" s="12" t="s">
        <v>29</v>
      </c>
      <c r="D157" s="12" t="s">
        <v>33</v>
      </c>
      <c r="E157" s="11">
        <v>2434.5</v>
      </c>
      <c r="F157" s="12">
        <v>10</v>
      </c>
      <c r="G157" s="12">
        <v>300</v>
      </c>
      <c r="H157" s="7">
        <f t="shared" si="11"/>
        <v>730350</v>
      </c>
      <c r="I157" s="7">
        <f t="shared" si="8"/>
        <v>36517.5</v>
      </c>
      <c r="J157" s="7">
        <f t="shared" si="9"/>
        <v>693832.5</v>
      </c>
      <c r="K157" s="12">
        <v>608625</v>
      </c>
      <c r="L157" s="12">
        <f t="shared" si="10"/>
        <v>85207.5</v>
      </c>
      <c r="M157" s="13">
        <v>41640</v>
      </c>
      <c r="N157" s="14"/>
      <c r="O157" s="12"/>
      <c r="P157" s="15"/>
    </row>
    <row r="158" spans="1:16" ht="15.75" customHeight="1" x14ac:dyDescent="0.3">
      <c r="A158" s="6" t="s">
        <v>26</v>
      </c>
      <c r="B158" s="6" t="s">
        <v>17</v>
      </c>
      <c r="C158" s="7" t="s">
        <v>29</v>
      </c>
      <c r="D158" s="7" t="s">
        <v>33</v>
      </c>
      <c r="E158" s="6">
        <v>1774</v>
      </c>
      <c r="F158" s="7">
        <v>10</v>
      </c>
      <c r="G158" s="7">
        <v>125</v>
      </c>
      <c r="H158" s="7">
        <f t="shared" si="11"/>
        <v>221750</v>
      </c>
      <c r="I158" s="7">
        <f t="shared" si="8"/>
        <v>11087.5</v>
      </c>
      <c r="J158" s="7">
        <f t="shared" si="9"/>
        <v>210662.5</v>
      </c>
      <c r="K158" s="7">
        <v>212880</v>
      </c>
      <c r="L158" s="12">
        <f t="shared" si="10"/>
        <v>-2217.5</v>
      </c>
      <c r="M158" s="8">
        <v>41699</v>
      </c>
      <c r="N158" s="9"/>
      <c r="O158" s="7"/>
      <c r="P158" s="10"/>
    </row>
    <row r="159" spans="1:16" ht="15.75" customHeight="1" x14ac:dyDescent="0.3">
      <c r="A159" s="11" t="s">
        <v>25</v>
      </c>
      <c r="B159" s="11" t="s">
        <v>22</v>
      </c>
      <c r="C159" s="12" t="s">
        <v>29</v>
      </c>
      <c r="D159" s="12" t="s">
        <v>33</v>
      </c>
      <c r="E159" s="11">
        <v>1901</v>
      </c>
      <c r="F159" s="12">
        <v>10</v>
      </c>
      <c r="G159" s="12">
        <v>12</v>
      </c>
      <c r="H159" s="7">
        <f t="shared" si="11"/>
        <v>22812</v>
      </c>
      <c r="I159" s="7">
        <f t="shared" si="8"/>
        <v>1140.6000000000001</v>
      </c>
      <c r="J159" s="7">
        <f t="shared" si="9"/>
        <v>21671.4</v>
      </c>
      <c r="K159" s="12">
        <v>5703</v>
      </c>
      <c r="L159" s="12">
        <f t="shared" si="10"/>
        <v>15968.400000000001</v>
      </c>
      <c r="M159" s="13">
        <v>41791</v>
      </c>
      <c r="N159" s="14"/>
      <c r="O159" s="12"/>
      <c r="P159" s="15"/>
    </row>
    <row r="160" spans="1:16" ht="15.75" customHeight="1" x14ac:dyDescent="0.3">
      <c r="A160" s="6" t="s">
        <v>27</v>
      </c>
      <c r="B160" s="6" t="s">
        <v>20</v>
      </c>
      <c r="C160" s="7" t="s">
        <v>29</v>
      </c>
      <c r="D160" s="7" t="s">
        <v>33</v>
      </c>
      <c r="E160" s="6">
        <v>689</v>
      </c>
      <c r="F160" s="7">
        <v>10</v>
      </c>
      <c r="G160" s="7">
        <v>300</v>
      </c>
      <c r="H160" s="7">
        <f t="shared" si="11"/>
        <v>206700</v>
      </c>
      <c r="I160" s="7">
        <f t="shared" si="8"/>
        <v>10335</v>
      </c>
      <c r="J160" s="7">
        <f t="shared" si="9"/>
        <v>196365</v>
      </c>
      <c r="K160" s="7">
        <v>172250</v>
      </c>
      <c r="L160" s="12">
        <f t="shared" si="10"/>
        <v>24115</v>
      </c>
      <c r="M160" s="8">
        <v>41791</v>
      </c>
      <c r="N160" s="9"/>
      <c r="O160" s="7"/>
      <c r="P160" s="10"/>
    </row>
    <row r="161" spans="1:16" ht="15.75" customHeight="1" x14ac:dyDescent="0.3">
      <c r="A161" s="11" t="s">
        <v>26</v>
      </c>
      <c r="B161" s="11" t="s">
        <v>20</v>
      </c>
      <c r="C161" s="12" t="s">
        <v>29</v>
      </c>
      <c r="D161" s="12" t="s">
        <v>33</v>
      </c>
      <c r="E161" s="11">
        <v>1570</v>
      </c>
      <c r="F161" s="12">
        <v>10</v>
      </c>
      <c r="G161" s="12">
        <v>125</v>
      </c>
      <c r="H161" s="7">
        <f t="shared" si="11"/>
        <v>196250</v>
      </c>
      <c r="I161" s="7">
        <f t="shared" si="8"/>
        <v>9812.5</v>
      </c>
      <c r="J161" s="7">
        <f t="shared" si="9"/>
        <v>186437.5</v>
      </c>
      <c r="K161" s="12">
        <v>188400</v>
      </c>
      <c r="L161" s="12">
        <f t="shared" si="10"/>
        <v>-1962.5</v>
      </c>
      <c r="M161" s="13">
        <v>41791</v>
      </c>
      <c r="N161" s="14"/>
      <c r="O161" s="12"/>
      <c r="P161" s="15"/>
    </row>
    <row r="162" spans="1:16" ht="15.75" customHeight="1" x14ac:dyDescent="0.3">
      <c r="A162" s="6" t="s">
        <v>25</v>
      </c>
      <c r="B162" s="6" t="s">
        <v>28</v>
      </c>
      <c r="C162" s="7" t="s">
        <v>29</v>
      </c>
      <c r="D162" s="7" t="s">
        <v>33</v>
      </c>
      <c r="E162" s="6">
        <v>1369.5</v>
      </c>
      <c r="F162" s="7">
        <v>10</v>
      </c>
      <c r="G162" s="7">
        <v>12</v>
      </c>
      <c r="H162" s="7">
        <f t="shared" si="11"/>
        <v>16434</v>
      </c>
      <c r="I162" s="7">
        <f t="shared" si="8"/>
        <v>821.7</v>
      </c>
      <c r="J162" s="7">
        <f t="shared" si="9"/>
        <v>15612.3</v>
      </c>
      <c r="K162" s="7">
        <v>4108.5</v>
      </c>
      <c r="L162" s="12">
        <f t="shared" si="10"/>
        <v>11503.8</v>
      </c>
      <c r="M162" s="8">
        <v>41821</v>
      </c>
      <c r="N162" s="9"/>
      <c r="O162" s="7"/>
      <c r="P162" s="10"/>
    </row>
    <row r="163" spans="1:16" ht="15.75" customHeight="1" x14ac:dyDescent="0.3">
      <c r="A163" s="11" t="s">
        <v>26</v>
      </c>
      <c r="B163" s="11" t="s">
        <v>17</v>
      </c>
      <c r="C163" s="12" t="s">
        <v>29</v>
      </c>
      <c r="D163" s="12" t="s">
        <v>33</v>
      </c>
      <c r="E163" s="11">
        <v>2009</v>
      </c>
      <c r="F163" s="12">
        <v>10</v>
      </c>
      <c r="G163" s="12">
        <v>125</v>
      </c>
      <c r="H163" s="7">
        <f t="shared" si="11"/>
        <v>251125</v>
      </c>
      <c r="I163" s="7">
        <f t="shared" si="8"/>
        <v>12556.25</v>
      </c>
      <c r="J163" s="7">
        <f t="shared" si="9"/>
        <v>238568.75</v>
      </c>
      <c r="K163" s="12">
        <v>241080</v>
      </c>
      <c r="L163" s="12">
        <f t="shared" si="10"/>
        <v>-2511.25</v>
      </c>
      <c r="M163" s="13">
        <v>41913</v>
      </c>
      <c r="N163" s="14"/>
      <c r="O163" s="12"/>
      <c r="P163" s="15"/>
    </row>
    <row r="164" spans="1:16" ht="15.75" customHeight="1" x14ac:dyDescent="0.3">
      <c r="A164" s="6" t="s">
        <v>21</v>
      </c>
      <c r="B164" s="6" t="s">
        <v>20</v>
      </c>
      <c r="C164" s="7" t="s">
        <v>29</v>
      </c>
      <c r="D164" s="7" t="s">
        <v>33</v>
      </c>
      <c r="E164" s="6">
        <v>1945</v>
      </c>
      <c r="F164" s="7">
        <v>10</v>
      </c>
      <c r="G164" s="7">
        <v>15</v>
      </c>
      <c r="H164" s="7">
        <f t="shared" si="11"/>
        <v>29175</v>
      </c>
      <c r="I164" s="7">
        <f t="shared" si="8"/>
        <v>1458.75</v>
      </c>
      <c r="J164" s="7">
        <f t="shared" si="9"/>
        <v>27716.25</v>
      </c>
      <c r="K164" s="7">
        <v>19450</v>
      </c>
      <c r="L164" s="12">
        <f t="shared" si="10"/>
        <v>8266.25</v>
      </c>
      <c r="M164" s="8">
        <v>41548</v>
      </c>
      <c r="N164" s="9"/>
      <c r="O164" s="7"/>
      <c r="P164" s="10"/>
    </row>
    <row r="165" spans="1:16" ht="15.75" customHeight="1" x14ac:dyDescent="0.3">
      <c r="A165" s="11" t="s">
        <v>26</v>
      </c>
      <c r="B165" s="11" t="s">
        <v>22</v>
      </c>
      <c r="C165" s="12" t="s">
        <v>29</v>
      </c>
      <c r="D165" s="12" t="s">
        <v>33</v>
      </c>
      <c r="E165" s="11">
        <v>1287</v>
      </c>
      <c r="F165" s="12">
        <v>10</v>
      </c>
      <c r="G165" s="12">
        <v>125</v>
      </c>
      <c r="H165" s="7">
        <f t="shared" si="11"/>
        <v>160875</v>
      </c>
      <c r="I165" s="7">
        <f t="shared" si="8"/>
        <v>8043.75</v>
      </c>
      <c r="J165" s="7">
        <f t="shared" si="9"/>
        <v>152831.25</v>
      </c>
      <c r="K165" s="12">
        <v>154440</v>
      </c>
      <c r="L165" s="12">
        <f t="shared" si="10"/>
        <v>-1608.75</v>
      </c>
      <c r="M165" s="13">
        <v>41974</v>
      </c>
      <c r="N165" s="14"/>
      <c r="O165" s="12"/>
      <c r="P165" s="15"/>
    </row>
    <row r="166" spans="1:16" ht="15.75" customHeight="1" x14ac:dyDescent="0.3">
      <c r="A166" s="6" t="s">
        <v>26</v>
      </c>
      <c r="B166" s="6" t="s">
        <v>20</v>
      </c>
      <c r="C166" s="7" t="s">
        <v>29</v>
      </c>
      <c r="D166" s="7" t="s">
        <v>33</v>
      </c>
      <c r="E166" s="6">
        <v>1706</v>
      </c>
      <c r="F166" s="7">
        <v>10</v>
      </c>
      <c r="G166" s="7">
        <v>125</v>
      </c>
      <c r="H166" s="7">
        <f t="shared" si="11"/>
        <v>213250</v>
      </c>
      <c r="I166" s="7">
        <f t="shared" si="8"/>
        <v>10662.5</v>
      </c>
      <c r="J166" s="7">
        <f t="shared" si="9"/>
        <v>202587.5</v>
      </c>
      <c r="K166" s="7">
        <v>204720</v>
      </c>
      <c r="L166" s="12">
        <f t="shared" si="10"/>
        <v>-2132.5</v>
      </c>
      <c r="M166" s="8">
        <v>41974</v>
      </c>
      <c r="N166" s="9"/>
      <c r="O166" s="7"/>
      <c r="P166" s="10"/>
    </row>
    <row r="167" spans="1:16" ht="15.75" customHeight="1" x14ac:dyDescent="0.3">
      <c r="A167" s="11" t="s">
        <v>26</v>
      </c>
      <c r="B167" s="11" t="s">
        <v>17</v>
      </c>
      <c r="C167" s="12" t="s">
        <v>30</v>
      </c>
      <c r="D167" s="12" t="s">
        <v>33</v>
      </c>
      <c r="E167" s="11">
        <v>2009</v>
      </c>
      <c r="F167" s="12">
        <v>120</v>
      </c>
      <c r="G167" s="12">
        <v>125</v>
      </c>
      <c r="H167" s="7">
        <f t="shared" si="11"/>
        <v>251125</v>
      </c>
      <c r="I167" s="7">
        <f t="shared" si="8"/>
        <v>12556.25</v>
      </c>
      <c r="J167" s="7">
        <f t="shared" si="9"/>
        <v>238568.75</v>
      </c>
      <c r="K167" s="12">
        <v>241080</v>
      </c>
      <c r="L167" s="12">
        <f t="shared" si="10"/>
        <v>-2511.25</v>
      </c>
      <c r="M167" s="13">
        <v>41913</v>
      </c>
      <c r="N167" s="14"/>
      <c r="O167" s="12"/>
      <c r="P167" s="15"/>
    </row>
    <row r="168" spans="1:16" ht="15.75" customHeight="1" x14ac:dyDescent="0.3">
      <c r="A168" s="6" t="s">
        <v>27</v>
      </c>
      <c r="B168" s="6" t="s">
        <v>28</v>
      </c>
      <c r="C168" s="7" t="s">
        <v>31</v>
      </c>
      <c r="D168" s="7" t="s">
        <v>33</v>
      </c>
      <c r="E168" s="6">
        <v>2844</v>
      </c>
      <c r="F168" s="7">
        <v>250</v>
      </c>
      <c r="G168" s="7">
        <v>300</v>
      </c>
      <c r="H168" s="7">
        <f t="shared" si="11"/>
        <v>853200</v>
      </c>
      <c r="I168" s="7">
        <f t="shared" si="8"/>
        <v>42660</v>
      </c>
      <c r="J168" s="7">
        <f t="shared" si="9"/>
        <v>810540</v>
      </c>
      <c r="K168" s="7">
        <v>711000</v>
      </c>
      <c r="L168" s="12">
        <f t="shared" si="10"/>
        <v>99540</v>
      </c>
      <c r="M168" s="8">
        <v>41671</v>
      </c>
      <c r="N168" s="9"/>
      <c r="O168" s="7"/>
      <c r="P168" s="10"/>
    </row>
    <row r="169" spans="1:16" ht="15.75" customHeight="1" x14ac:dyDescent="0.3">
      <c r="A169" s="11" t="s">
        <v>25</v>
      </c>
      <c r="B169" s="11" t="s">
        <v>23</v>
      </c>
      <c r="C169" s="12" t="s">
        <v>31</v>
      </c>
      <c r="D169" s="12" t="s">
        <v>33</v>
      </c>
      <c r="E169" s="11">
        <v>1916</v>
      </c>
      <c r="F169" s="12">
        <v>250</v>
      </c>
      <c r="G169" s="12">
        <v>12</v>
      </c>
      <c r="H169" s="7">
        <f t="shared" si="11"/>
        <v>22992</v>
      </c>
      <c r="I169" s="7">
        <f t="shared" si="8"/>
        <v>1149.6000000000001</v>
      </c>
      <c r="J169" s="7">
        <f t="shared" si="9"/>
        <v>21842.400000000001</v>
      </c>
      <c r="K169" s="12">
        <v>5748</v>
      </c>
      <c r="L169" s="12">
        <f t="shared" si="10"/>
        <v>16094.400000000001</v>
      </c>
      <c r="M169" s="13">
        <v>41730</v>
      </c>
      <c r="N169" s="14"/>
      <c r="O169" s="12"/>
      <c r="P169" s="15"/>
    </row>
    <row r="170" spans="1:16" ht="15.75" customHeight="1" x14ac:dyDescent="0.3">
      <c r="A170" s="6" t="s">
        <v>26</v>
      </c>
      <c r="B170" s="6" t="s">
        <v>20</v>
      </c>
      <c r="C170" s="7" t="s">
        <v>31</v>
      </c>
      <c r="D170" s="7" t="s">
        <v>33</v>
      </c>
      <c r="E170" s="6">
        <v>1570</v>
      </c>
      <c r="F170" s="7">
        <v>250</v>
      </c>
      <c r="G170" s="7">
        <v>125</v>
      </c>
      <c r="H170" s="7">
        <f t="shared" si="11"/>
        <v>196250</v>
      </c>
      <c r="I170" s="7">
        <f t="shared" si="8"/>
        <v>9812.5</v>
      </c>
      <c r="J170" s="7">
        <f t="shared" si="9"/>
        <v>186437.5</v>
      </c>
      <c r="K170" s="7">
        <v>188400</v>
      </c>
      <c r="L170" s="12">
        <f t="shared" si="10"/>
        <v>-1962.5</v>
      </c>
      <c r="M170" s="8">
        <v>41791</v>
      </c>
      <c r="N170" s="9"/>
      <c r="O170" s="7"/>
      <c r="P170" s="10"/>
    </row>
    <row r="171" spans="1:16" ht="15.75" customHeight="1" x14ac:dyDescent="0.3">
      <c r="A171" s="11" t="s">
        <v>27</v>
      </c>
      <c r="B171" s="11" t="s">
        <v>17</v>
      </c>
      <c r="C171" s="12" t="s">
        <v>31</v>
      </c>
      <c r="D171" s="12" t="s">
        <v>33</v>
      </c>
      <c r="E171" s="11">
        <v>1874</v>
      </c>
      <c r="F171" s="12">
        <v>250</v>
      </c>
      <c r="G171" s="12">
        <v>300</v>
      </c>
      <c r="H171" s="7">
        <f t="shared" si="11"/>
        <v>562200</v>
      </c>
      <c r="I171" s="7">
        <f t="shared" si="8"/>
        <v>28110</v>
      </c>
      <c r="J171" s="7">
        <f t="shared" si="9"/>
        <v>534090</v>
      </c>
      <c r="K171" s="12">
        <v>468500</v>
      </c>
      <c r="L171" s="12">
        <f t="shared" si="10"/>
        <v>65590</v>
      </c>
      <c r="M171" s="13">
        <v>41852</v>
      </c>
      <c r="N171" s="14"/>
      <c r="O171" s="12"/>
      <c r="P171" s="15"/>
    </row>
    <row r="172" spans="1:16" ht="15.75" customHeight="1" x14ac:dyDescent="0.3">
      <c r="A172" s="6" t="s">
        <v>16</v>
      </c>
      <c r="B172" s="6" t="s">
        <v>23</v>
      </c>
      <c r="C172" s="7" t="s">
        <v>31</v>
      </c>
      <c r="D172" s="7" t="s">
        <v>33</v>
      </c>
      <c r="E172" s="6">
        <v>1642</v>
      </c>
      <c r="F172" s="7">
        <v>250</v>
      </c>
      <c r="G172" s="7">
        <v>350</v>
      </c>
      <c r="H172" s="7">
        <f t="shared" si="11"/>
        <v>574700</v>
      </c>
      <c r="I172" s="7">
        <f t="shared" si="8"/>
        <v>28735</v>
      </c>
      <c r="J172" s="7">
        <f t="shared" si="9"/>
        <v>545965</v>
      </c>
      <c r="K172" s="7">
        <v>426920</v>
      </c>
      <c r="L172" s="12">
        <f t="shared" si="10"/>
        <v>119045</v>
      </c>
      <c r="M172" s="8">
        <v>41852</v>
      </c>
      <c r="N172" s="9"/>
      <c r="O172" s="7"/>
      <c r="P172" s="10"/>
    </row>
    <row r="173" spans="1:16" ht="15.75" customHeight="1" x14ac:dyDescent="0.3">
      <c r="A173" s="11" t="s">
        <v>21</v>
      </c>
      <c r="B173" s="11" t="s">
        <v>20</v>
      </c>
      <c r="C173" s="12" t="s">
        <v>31</v>
      </c>
      <c r="D173" s="12" t="s">
        <v>33</v>
      </c>
      <c r="E173" s="11">
        <v>1945</v>
      </c>
      <c r="F173" s="12">
        <v>250</v>
      </c>
      <c r="G173" s="12">
        <v>15</v>
      </c>
      <c r="H173" s="7">
        <f t="shared" si="11"/>
        <v>29175</v>
      </c>
      <c r="I173" s="7">
        <f t="shared" si="8"/>
        <v>1458.75</v>
      </c>
      <c r="J173" s="7">
        <f t="shared" si="9"/>
        <v>27716.25</v>
      </c>
      <c r="K173" s="12">
        <v>19450</v>
      </c>
      <c r="L173" s="12">
        <f t="shared" si="10"/>
        <v>8266.25</v>
      </c>
      <c r="M173" s="13">
        <v>41548</v>
      </c>
      <c r="N173" s="14"/>
      <c r="O173" s="12"/>
      <c r="P173" s="15"/>
    </row>
    <row r="174" spans="1:16" ht="15.75" customHeight="1" x14ac:dyDescent="0.3">
      <c r="A174" s="6" t="s">
        <v>16</v>
      </c>
      <c r="B174" s="6" t="s">
        <v>17</v>
      </c>
      <c r="C174" s="7" t="s">
        <v>18</v>
      </c>
      <c r="D174" s="7" t="s">
        <v>33</v>
      </c>
      <c r="E174" s="6">
        <v>831</v>
      </c>
      <c r="F174" s="7">
        <v>3</v>
      </c>
      <c r="G174" s="7">
        <v>20</v>
      </c>
      <c r="H174" s="7">
        <f t="shared" si="11"/>
        <v>16620</v>
      </c>
      <c r="I174" s="7">
        <f t="shared" si="8"/>
        <v>831</v>
      </c>
      <c r="J174" s="7">
        <f t="shared" si="9"/>
        <v>15789</v>
      </c>
      <c r="K174" s="7">
        <v>8310</v>
      </c>
      <c r="L174" s="12">
        <f t="shared" si="10"/>
        <v>7479</v>
      </c>
      <c r="M174" s="8">
        <v>41760</v>
      </c>
      <c r="N174" s="9"/>
      <c r="O174" s="7"/>
      <c r="P174" s="10"/>
    </row>
    <row r="175" spans="1:16" ht="15.75" customHeight="1" x14ac:dyDescent="0.3">
      <c r="A175" s="11" t="s">
        <v>16</v>
      </c>
      <c r="B175" s="11" t="s">
        <v>23</v>
      </c>
      <c r="C175" s="12" t="s">
        <v>29</v>
      </c>
      <c r="D175" s="12" t="s">
        <v>33</v>
      </c>
      <c r="E175" s="11">
        <v>1760</v>
      </c>
      <c r="F175" s="12">
        <v>10</v>
      </c>
      <c r="G175" s="12">
        <v>7</v>
      </c>
      <c r="H175" s="7">
        <f t="shared" si="11"/>
        <v>12320</v>
      </c>
      <c r="I175" s="7">
        <f t="shared" si="8"/>
        <v>616</v>
      </c>
      <c r="J175" s="7">
        <f t="shared" si="9"/>
        <v>11704</v>
      </c>
      <c r="K175" s="12">
        <v>8800</v>
      </c>
      <c r="L175" s="12">
        <f t="shared" si="10"/>
        <v>2904</v>
      </c>
      <c r="M175" s="13">
        <v>41518</v>
      </c>
      <c r="N175" s="14"/>
      <c r="O175" s="12"/>
      <c r="P175" s="15"/>
    </row>
    <row r="176" spans="1:16" ht="15.75" customHeight="1" x14ac:dyDescent="0.3">
      <c r="A176" s="6" t="s">
        <v>16</v>
      </c>
      <c r="B176" s="6" t="s">
        <v>17</v>
      </c>
      <c r="C176" s="7" t="s">
        <v>30</v>
      </c>
      <c r="D176" s="7" t="s">
        <v>33</v>
      </c>
      <c r="E176" s="6">
        <v>3850.5</v>
      </c>
      <c r="F176" s="7">
        <v>120</v>
      </c>
      <c r="G176" s="7">
        <v>20</v>
      </c>
      <c r="H176" s="7">
        <f t="shared" si="11"/>
        <v>77010</v>
      </c>
      <c r="I176" s="7">
        <f t="shared" si="8"/>
        <v>3850.5</v>
      </c>
      <c r="J176" s="7">
        <f t="shared" si="9"/>
        <v>73159.5</v>
      </c>
      <c r="K176" s="7">
        <v>38505</v>
      </c>
      <c r="L176" s="12">
        <f t="shared" si="10"/>
        <v>34654.5</v>
      </c>
      <c r="M176" s="8">
        <v>41730</v>
      </c>
      <c r="N176" s="9"/>
      <c r="O176" s="7"/>
      <c r="P176" s="10"/>
    </row>
    <row r="177" spans="1:16" ht="15.75" customHeight="1" x14ac:dyDescent="0.3">
      <c r="A177" s="11" t="s">
        <v>25</v>
      </c>
      <c r="B177" s="11" t="s">
        <v>20</v>
      </c>
      <c r="C177" s="12" t="s">
        <v>31</v>
      </c>
      <c r="D177" s="12" t="s">
        <v>33</v>
      </c>
      <c r="E177" s="11">
        <v>2479</v>
      </c>
      <c r="F177" s="12">
        <v>250</v>
      </c>
      <c r="G177" s="12">
        <v>12</v>
      </c>
      <c r="H177" s="7">
        <f t="shared" si="11"/>
        <v>29748</v>
      </c>
      <c r="I177" s="7">
        <f t="shared" si="8"/>
        <v>1487.4</v>
      </c>
      <c r="J177" s="7">
        <f t="shared" si="9"/>
        <v>28260.6</v>
      </c>
      <c r="K177" s="12">
        <v>7437</v>
      </c>
      <c r="L177" s="12">
        <f t="shared" si="10"/>
        <v>20823.599999999999</v>
      </c>
      <c r="M177" s="13">
        <v>41640</v>
      </c>
      <c r="N177" s="14"/>
      <c r="O177" s="12"/>
      <c r="P177" s="15"/>
    </row>
    <row r="178" spans="1:16" ht="15.75" customHeight="1" x14ac:dyDescent="0.3">
      <c r="A178" s="6" t="s">
        <v>21</v>
      </c>
      <c r="B178" s="6" t="s">
        <v>23</v>
      </c>
      <c r="C178" s="7" t="s">
        <v>24</v>
      </c>
      <c r="D178" s="7" t="s">
        <v>33</v>
      </c>
      <c r="E178" s="6">
        <v>2031</v>
      </c>
      <c r="F178" s="7">
        <v>5</v>
      </c>
      <c r="G178" s="7">
        <v>15</v>
      </c>
      <c r="H178" s="7">
        <f t="shared" si="11"/>
        <v>30465</v>
      </c>
      <c r="I178" s="7">
        <f t="shared" si="8"/>
        <v>1523.25</v>
      </c>
      <c r="J178" s="7">
        <f t="shared" si="9"/>
        <v>28941.75</v>
      </c>
      <c r="K178" s="7">
        <v>20310</v>
      </c>
      <c r="L178" s="12">
        <f t="shared" si="10"/>
        <v>8631.75</v>
      </c>
      <c r="M178" s="8">
        <v>41913</v>
      </c>
      <c r="N178" s="9"/>
      <c r="O178" s="7"/>
      <c r="P178" s="10"/>
    </row>
    <row r="179" spans="1:16" ht="15.75" customHeight="1" x14ac:dyDescent="0.3">
      <c r="A179" s="11" t="s">
        <v>21</v>
      </c>
      <c r="B179" s="11" t="s">
        <v>23</v>
      </c>
      <c r="C179" s="12" t="s">
        <v>29</v>
      </c>
      <c r="D179" s="12" t="s">
        <v>33</v>
      </c>
      <c r="E179" s="11">
        <v>2031</v>
      </c>
      <c r="F179" s="12">
        <v>10</v>
      </c>
      <c r="G179" s="12">
        <v>15</v>
      </c>
      <c r="H179" s="7">
        <f t="shared" si="11"/>
        <v>30465</v>
      </c>
      <c r="I179" s="7">
        <f t="shared" si="8"/>
        <v>1523.25</v>
      </c>
      <c r="J179" s="7">
        <f t="shared" si="9"/>
        <v>28941.75</v>
      </c>
      <c r="K179" s="12">
        <v>20310</v>
      </c>
      <c r="L179" s="12">
        <f t="shared" si="10"/>
        <v>8631.75</v>
      </c>
      <c r="M179" s="13">
        <v>41913</v>
      </c>
      <c r="N179" s="14"/>
      <c r="O179" s="12"/>
      <c r="P179" s="15"/>
    </row>
    <row r="180" spans="1:16" ht="15.75" customHeight="1" x14ac:dyDescent="0.3">
      <c r="A180" s="6" t="s">
        <v>21</v>
      </c>
      <c r="B180" s="6" t="s">
        <v>22</v>
      </c>
      <c r="C180" s="7" t="s">
        <v>29</v>
      </c>
      <c r="D180" s="7" t="s">
        <v>33</v>
      </c>
      <c r="E180" s="6">
        <v>2261</v>
      </c>
      <c r="F180" s="7">
        <v>10</v>
      </c>
      <c r="G180" s="7">
        <v>15</v>
      </c>
      <c r="H180" s="7">
        <f t="shared" si="11"/>
        <v>33915</v>
      </c>
      <c r="I180" s="7">
        <f t="shared" si="8"/>
        <v>1695.75</v>
      </c>
      <c r="J180" s="7">
        <f t="shared" si="9"/>
        <v>32219.25</v>
      </c>
      <c r="K180" s="7">
        <v>22610</v>
      </c>
      <c r="L180" s="12">
        <f t="shared" si="10"/>
        <v>9609.25</v>
      </c>
      <c r="M180" s="8">
        <v>41609</v>
      </c>
      <c r="N180" s="9"/>
      <c r="O180" s="7"/>
      <c r="P180" s="10"/>
    </row>
    <row r="181" spans="1:16" ht="15.75" customHeight="1" x14ac:dyDescent="0.3">
      <c r="A181" s="11" t="s">
        <v>16</v>
      </c>
      <c r="B181" s="11" t="s">
        <v>28</v>
      </c>
      <c r="C181" s="12" t="s">
        <v>30</v>
      </c>
      <c r="D181" s="12" t="s">
        <v>33</v>
      </c>
      <c r="E181" s="11">
        <v>736</v>
      </c>
      <c r="F181" s="12">
        <v>120</v>
      </c>
      <c r="G181" s="12">
        <v>20</v>
      </c>
      <c r="H181" s="7">
        <f t="shared" si="11"/>
        <v>14720</v>
      </c>
      <c r="I181" s="7">
        <f t="shared" si="8"/>
        <v>736</v>
      </c>
      <c r="J181" s="7">
        <f t="shared" si="9"/>
        <v>13984</v>
      </c>
      <c r="K181" s="12">
        <v>7360</v>
      </c>
      <c r="L181" s="12">
        <f t="shared" si="10"/>
        <v>6624</v>
      </c>
      <c r="M181" s="13">
        <v>41518</v>
      </c>
      <c r="N181" s="14"/>
      <c r="O181" s="12"/>
      <c r="P181" s="15"/>
    </row>
    <row r="182" spans="1:16" ht="15.75" customHeight="1" x14ac:dyDescent="0.3">
      <c r="A182" s="6" t="s">
        <v>16</v>
      </c>
      <c r="B182" s="6" t="s">
        <v>17</v>
      </c>
      <c r="C182" s="7" t="s">
        <v>18</v>
      </c>
      <c r="D182" s="7" t="s">
        <v>33</v>
      </c>
      <c r="E182" s="6">
        <v>2851</v>
      </c>
      <c r="F182" s="7">
        <v>3</v>
      </c>
      <c r="G182" s="7">
        <v>7</v>
      </c>
      <c r="H182" s="7">
        <f t="shared" si="11"/>
        <v>19957</v>
      </c>
      <c r="I182" s="7">
        <f t="shared" si="8"/>
        <v>997.85</v>
      </c>
      <c r="J182" s="7">
        <f t="shared" si="9"/>
        <v>18959.150000000001</v>
      </c>
      <c r="K182" s="7">
        <v>14255</v>
      </c>
      <c r="L182" s="12">
        <f t="shared" si="10"/>
        <v>4704.1500000000015</v>
      </c>
      <c r="M182" s="8">
        <v>41548</v>
      </c>
      <c r="N182" s="9"/>
      <c r="O182" s="7"/>
      <c r="P182" s="10"/>
    </row>
    <row r="183" spans="1:16" ht="15.75" customHeight="1" x14ac:dyDescent="0.3">
      <c r="A183" s="11" t="s">
        <v>27</v>
      </c>
      <c r="B183" s="11" t="s">
        <v>20</v>
      </c>
      <c r="C183" s="12" t="s">
        <v>18</v>
      </c>
      <c r="D183" s="12" t="s">
        <v>33</v>
      </c>
      <c r="E183" s="11">
        <v>2021</v>
      </c>
      <c r="F183" s="12">
        <v>3</v>
      </c>
      <c r="G183" s="12">
        <v>300</v>
      </c>
      <c r="H183" s="7">
        <f t="shared" si="11"/>
        <v>606300</v>
      </c>
      <c r="I183" s="7">
        <f t="shared" si="8"/>
        <v>30315</v>
      </c>
      <c r="J183" s="7">
        <f t="shared" si="9"/>
        <v>575985</v>
      </c>
      <c r="K183" s="12">
        <v>505250</v>
      </c>
      <c r="L183" s="12">
        <f t="shared" si="10"/>
        <v>70735</v>
      </c>
      <c r="M183" s="13">
        <v>41913</v>
      </c>
      <c r="N183" s="14"/>
      <c r="O183" s="12"/>
      <c r="P183" s="15"/>
    </row>
    <row r="184" spans="1:16" ht="15.75" customHeight="1" x14ac:dyDescent="0.3">
      <c r="A184" s="6" t="s">
        <v>16</v>
      </c>
      <c r="B184" s="6" t="s">
        <v>28</v>
      </c>
      <c r="C184" s="7" t="s">
        <v>18</v>
      </c>
      <c r="D184" s="7" t="s">
        <v>33</v>
      </c>
      <c r="E184" s="6">
        <v>274</v>
      </c>
      <c r="F184" s="7">
        <v>3</v>
      </c>
      <c r="G184" s="7">
        <v>350</v>
      </c>
      <c r="H184" s="7">
        <f t="shared" si="11"/>
        <v>95900</v>
      </c>
      <c r="I184" s="7">
        <f t="shared" si="8"/>
        <v>4795</v>
      </c>
      <c r="J184" s="7">
        <f t="shared" si="9"/>
        <v>91105</v>
      </c>
      <c r="K184" s="7">
        <v>71240</v>
      </c>
      <c r="L184" s="12">
        <f t="shared" si="10"/>
        <v>19865</v>
      </c>
      <c r="M184" s="8">
        <v>41974</v>
      </c>
      <c r="N184" s="9"/>
      <c r="O184" s="7"/>
      <c r="P184" s="10"/>
    </row>
    <row r="185" spans="1:16" ht="15.75" customHeight="1" x14ac:dyDescent="0.3">
      <c r="A185" s="11" t="s">
        <v>21</v>
      </c>
      <c r="B185" s="11" t="s">
        <v>17</v>
      </c>
      <c r="C185" s="12" t="s">
        <v>24</v>
      </c>
      <c r="D185" s="12" t="s">
        <v>33</v>
      </c>
      <c r="E185" s="11">
        <v>1967</v>
      </c>
      <c r="F185" s="12">
        <v>5</v>
      </c>
      <c r="G185" s="12">
        <v>15</v>
      </c>
      <c r="H185" s="7">
        <f t="shared" si="11"/>
        <v>29505</v>
      </c>
      <c r="I185" s="7">
        <f t="shared" si="8"/>
        <v>1475.25</v>
      </c>
      <c r="J185" s="7">
        <f t="shared" si="9"/>
        <v>28029.75</v>
      </c>
      <c r="K185" s="12">
        <v>19670</v>
      </c>
      <c r="L185" s="12">
        <f t="shared" si="10"/>
        <v>8359.75</v>
      </c>
      <c r="M185" s="13">
        <v>41699</v>
      </c>
      <c r="N185" s="14"/>
      <c r="O185" s="12"/>
      <c r="P185" s="15"/>
    </row>
    <row r="186" spans="1:16" ht="15.75" customHeight="1" x14ac:dyDescent="0.3">
      <c r="A186" s="6" t="s">
        <v>27</v>
      </c>
      <c r="B186" s="6" t="s">
        <v>20</v>
      </c>
      <c r="C186" s="7" t="s">
        <v>24</v>
      </c>
      <c r="D186" s="7" t="s">
        <v>33</v>
      </c>
      <c r="E186" s="6">
        <v>1859</v>
      </c>
      <c r="F186" s="7">
        <v>5</v>
      </c>
      <c r="G186" s="7">
        <v>300</v>
      </c>
      <c r="H186" s="7">
        <f t="shared" si="11"/>
        <v>557700</v>
      </c>
      <c r="I186" s="7">
        <f t="shared" si="8"/>
        <v>27885</v>
      </c>
      <c r="J186" s="7">
        <f t="shared" si="9"/>
        <v>529815</v>
      </c>
      <c r="K186" s="7">
        <v>464750</v>
      </c>
      <c r="L186" s="12">
        <f t="shared" si="10"/>
        <v>65065</v>
      </c>
      <c r="M186" s="8">
        <v>41852</v>
      </c>
      <c r="N186" s="9"/>
      <c r="O186" s="7"/>
      <c r="P186" s="10"/>
    </row>
    <row r="187" spans="1:16" ht="15.75" customHeight="1" x14ac:dyDescent="0.3">
      <c r="A187" s="11" t="s">
        <v>16</v>
      </c>
      <c r="B187" s="11" t="s">
        <v>17</v>
      </c>
      <c r="C187" s="12" t="s">
        <v>24</v>
      </c>
      <c r="D187" s="12" t="s">
        <v>33</v>
      </c>
      <c r="E187" s="11">
        <v>2851</v>
      </c>
      <c r="F187" s="12">
        <v>5</v>
      </c>
      <c r="G187" s="12">
        <v>7</v>
      </c>
      <c r="H187" s="7">
        <f t="shared" si="11"/>
        <v>19957</v>
      </c>
      <c r="I187" s="7">
        <f t="shared" si="8"/>
        <v>997.85</v>
      </c>
      <c r="J187" s="7">
        <f t="shared" si="9"/>
        <v>18959.150000000001</v>
      </c>
      <c r="K187" s="12">
        <v>14255</v>
      </c>
      <c r="L187" s="12">
        <f t="shared" si="10"/>
        <v>4704.1500000000015</v>
      </c>
      <c r="M187" s="13">
        <v>41548</v>
      </c>
      <c r="N187" s="14"/>
      <c r="O187" s="12"/>
      <c r="P187" s="15"/>
    </row>
    <row r="188" spans="1:16" ht="15.75" customHeight="1" x14ac:dyDescent="0.3">
      <c r="A188" s="6" t="s">
        <v>27</v>
      </c>
      <c r="B188" s="6" t="s">
        <v>20</v>
      </c>
      <c r="C188" s="7" t="s">
        <v>24</v>
      </c>
      <c r="D188" s="7" t="s">
        <v>33</v>
      </c>
      <c r="E188" s="6">
        <v>2021</v>
      </c>
      <c r="F188" s="7">
        <v>5</v>
      </c>
      <c r="G188" s="7">
        <v>300</v>
      </c>
      <c r="H188" s="7">
        <f t="shared" si="11"/>
        <v>606300</v>
      </c>
      <c r="I188" s="7">
        <f t="shared" si="8"/>
        <v>30315</v>
      </c>
      <c r="J188" s="7">
        <f t="shared" si="9"/>
        <v>575985</v>
      </c>
      <c r="K188" s="7">
        <v>505250</v>
      </c>
      <c r="L188" s="12">
        <f t="shared" si="10"/>
        <v>70735</v>
      </c>
      <c r="M188" s="8">
        <v>41913</v>
      </c>
      <c r="N188" s="9"/>
      <c r="O188" s="7"/>
      <c r="P188" s="10"/>
    </row>
    <row r="189" spans="1:16" ht="15.75" customHeight="1" x14ac:dyDescent="0.3">
      <c r="A189" s="11" t="s">
        <v>26</v>
      </c>
      <c r="B189" s="11" t="s">
        <v>23</v>
      </c>
      <c r="C189" s="12" t="s">
        <v>24</v>
      </c>
      <c r="D189" s="12" t="s">
        <v>33</v>
      </c>
      <c r="E189" s="11">
        <v>1138</v>
      </c>
      <c r="F189" s="12">
        <v>5</v>
      </c>
      <c r="G189" s="12">
        <v>125</v>
      </c>
      <c r="H189" s="7">
        <f t="shared" si="11"/>
        <v>142250</v>
      </c>
      <c r="I189" s="7">
        <f t="shared" si="8"/>
        <v>7112.5</v>
      </c>
      <c r="J189" s="7">
        <f t="shared" si="9"/>
        <v>135137.5</v>
      </c>
      <c r="K189" s="12">
        <v>136560</v>
      </c>
      <c r="L189" s="12">
        <f t="shared" si="10"/>
        <v>-1422.5</v>
      </c>
      <c r="M189" s="13">
        <v>41974</v>
      </c>
      <c r="N189" s="14"/>
      <c r="O189" s="12"/>
      <c r="P189" s="15"/>
    </row>
    <row r="190" spans="1:16" ht="15.75" customHeight="1" x14ac:dyDescent="0.3">
      <c r="A190" s="6" t="s">
        <v>16</v>
      </c>
      <c r="B190" s="6" t="s">
        <v>17</v>
      </c>
      <c r="C190" s="7" t="s">
        <v>29</v>
      </c>
      <c r="D190" s="7" t="s">
        <v>33</v>
      </c>
      <c r="E190" s="6">
        <v>4251</v>
      </c>
      <c r="F190" s="7">
        <v>10</v>
      </c>
      <c r="G190" s="7">
        <v>7</v>
      </c>
      <c r="H190" s="7">
        <f t="shared" si="11"/>
        <v>29757</v>
      </c>
      <c r="I190" s="7">
        <f t="shared" si="8"/>
        <v>1487.8500000000001</v>
      </c>
      <c r="J190" s="7">
        <f t="shared" si="9"/>
        <v>28269.15</v>
      </c>
      <c r="K190" s="7">
        <v>21255</v>
      </c>
      <c r="L190" s="12">
        <f t="shared" si="10"/>
        <v>7014.1500000000015</v>
      </c>
      <c r="M190" s="8">
        <v>41640</v>
      </c>
      <c r="N190" s="9"/>
      <c r="O190" s="7"/>
      <c r="P190" s="10"/>
    </row>
    <row r="191" spans="1:16" ht="15.75" customHeight="1" x14ac:dyDescent="0.3">
      <c r="A191" s="11" t="s">
        <v>26</v>
      </c>
      <c r="B191" s="11" t="s">
        <v>20</v>
      </c>
      <c r="C191" s="12" t="s">
        <v>29</v>
      </c>
      <c r="D191" s="12" t="s">
        <v>33</v>
      </c>
      <c r="E191" s="11">
        <v>795</v>
      </c>
      <c r="F191" s="12">
        <v>10</v>
      </c>
      <c r="G191" s="12">
        <v>125</v>
      </c>
      <c r="H191" s="7">
        <f t="shared" si="11"/>
        <v>99375</v>
      </c>
      <c r="I191" s="7">
        <f t="shared" si="8"/>
        <v>4968.75</v>
      </c>
      <c r="J191" s="7">
        <f t="shared" si="9"/>
        <v>94406.25</v>
      </c>
      <c r="K191" s="12">
        <v>95400</v>
      </c>
      <c r="L191" s="12">
        <f t="shared" si="10"/>
        <v>-993.75</v>
      </c>
      <c r="M191" s="13">
        <v>41699</v>
      </c>
      <c r="N191" s="14"/>
      <c r="O191" s="12"/>
      <c r="P191" s="15"/>
    </row>
    <row r="192" spans="1:16" ht="15.75" customHeight="1" x14ac:dyDescent="0.3">
      <c r="A192" s="6" t="s">
        <v>27</v>
      </c>
      <c r="B192" s="6" t="s">
        <v>20</v>
      </c>
      <c r="C192" s="7" t="s">
        <v>29</v>
      </c>
      <c r="D192" s="7" t="s">
        <v>33</v>
      </c>
      <c r="E192" s="6">
        <v>1414.5</v>
      </c>
      <c r="F192" s="7">
        <v>10</v>
      </c>
      <c r="G192" s="7">
        <v>300</v>
      </c>
      <c r="H192" s="7">
        <f t="shared" si="11"/>
        <v>424350</v>
      </c>
      <c r="I192" s="7">
        <f t="shared" si="8"/>
        <v>21217.5</v>
      </c>
      <c r="J192" s="7">
        <f t="shared" si="9"/>
        <v>403132.5</v>
      </c>
      <c r="K192" s="7">
        <v>353625</v>
      </c>
      <c r="L192" s="12">
        <f t="shared" si="10"/>
        <v>49507.5</v>
      </c>
      <c r="M192" s="8">
        <v>41730</v>
      </c>
      <c r="N192" s="9"/>
      <c r="O192" s="7"/>
      <c r="P192" s="10"/>
    </row>
    <row r="193" spans="1:16" ht="15.75" customHeight="1" x14ac:dyDescent="0.3">
      <c r="A193" s="11" t="s">
        <v>27</v>
      </c>
      <c r="B193" s="11" t="s">
        <v>28</v>
      </c>
      <c r="C193" s="12" t="s">
        <v>29</v>
      </c>
      <c r="D193" s="12" t="s">
        <v>33</v>
      </c>
      <c r="E193" s="11">
        <v>2918</v>
      </c>
      <c r="F193" s="12">
        <v>10</v>
      </c>
      <c r="G193" s="12">
        <v>300</v>
      </c>
      <c r="H193" s="7">
        <f t="shared" si="11"/>
        <v>875400</v>
      </c>
      <c r="I193" s="7">
        <f t="shared" si="8"/>
        <v>43770</v>
      </c>
      <c r="J193" s="7">
        <f t="shared" si="9"/>
        <v>831630</v>
      </c>
      <c r="K193" s="12">
        <v>729500</v>
      </c>
      <c r="L193" s="12">
        <f t="shared" si="10"/>
        <v>102130</v>
      </c>
      <c r="M193" s="13">
        <v>41760</v>
      </c>
      <c r="N193" s="14"/>
      <c r="O193" s="12"/>
      <c r="P193" s="15"/>
    </row>
    <row r="194" spans="1:16" ht="15.75" customHeight="1" x14ac:dyDescent="0.3">
      <c r="A194" s="6" t="s">
        <v>16</v>
      </c>
      <c r="B194" s="6" t="s">
        <v>28</v>
      </c>
      <c r="C194" s="7" t="s">
        <v>29</v>
      </c>
      <c r="D194" s="7" t="s">
        <v>33</v>
      </c>
      <c r="E194" s="6">
        <v>3450</v>
      </c>
      <c r="F194" s="7">
        <v>10</v>
      </c>
      <c r="G194" s="7">
        <v>350</v>
      </c>
      <c r="H194" s="7">
        <f t="shared" si="11"/>
        <v>1207500</v>
      </c>
      <c r="I194" s="7">
        <f t="shared" si="8"/>
        <v>60375</v>
      </c>
      <c r="J194" s="7">
        <f t="shared" si="9"/>
        <v>1147125</v>
      </c>
      <c r="K194" s="7">
        <v>897000</v>
      </c>
      <c r="L194" s="12">
        <f t="shared" si="10"/>
        <v>250125</v>
      </c>
      <c r="M194" s="8">
        <v>41821</v>
      </c>
      <c r="N194" s="9"/>
      <c r="O194" s="7"/>
      <c r="P194" s="10"/>
    </row>
    <row r="195" spans="1:16" ht="15.75" customHeight="1" x14ac:dyDescent="0.3">
      <c r="A195" s="11" t="s">
        <v>26</v>
      </c>
      <c r="B195" s="11" t="s">
        <v>22</v>
      </c>
      <c r="C195" s="12" t="s">
        <v>29</v>
      </c>
      <c r="D195" s="12" t="s">
        <v>33</v>
      </c>
      <c r="E195" s="11">
        <v>2988</v>
      </c>
      <c r="F195" s="12">
        <v>10</v>
      </c>
      <c r="G195" s="12">
        <v>125</v>
      </c>
      <c r="H195" s="7">
        <f t="shared" si="11"/>
        <v>373500</v>
      </c>
      <c r="I195" s="7">
        <f t="shared" ref="I195:I258" si="12">IF(D195="None", 0, IF(D195="Low", H195*0.05, IF(D195="Medium", H195*0.1, IF(D195="High", H195*0.15, 0))))</f>
        <v>18675</v>
      </c>
      <c r="J195" s="7">
        <f t="shared" ref="J195:J258" si="13">H195-I195</f>
        <v>354825</v>
      </c>
      <c r="K195" s="12">
        <v>358560</v>
      </c>
      <c r="L195" s="12">
        <f t="shared" si="10"/>
        <v>-3735</v>
      </c>
      <c r="M195" s="13">
        <v>41821</v>
      </c>
      <c r="N195" s="14"/>
      <c r="O195" s="12"/>
      <c r="P195" s="15"/>
    </row>
    <row r="196" spans="1:16" ht="15.75" customHeight="1" x14ac:dyDescent="0.3">
      <c r="A196" s="6" t="s">
        <v>21</v>
      </c>
      <c r="B196" s="6" t="s">
        <v>17</v>
      </c>
      <c r="C196" s="7" t="s">
        <v>29</v>
      </c>
      <c r="D196" s="7" t="s">
        <v>33</v>
      </c>
      <c r="E196" s="6">
        <v>218</v>
      </c>
      <c r="F196" s="7">
        <v>10</v>
      </c>
      <c r="G196" s="7">
        <v>15</v>
      </c>
      <c r="H196" s="7">
        <f t="shared" si="11"/>
        <v>3270</v>
      </c>
      <c r="I196" s="7">
        <f t="shared" si="12"/>
        <v>163.5</v>
      </c>
      <c r="J196" s="7">
        <f t="shared" si="13"/>
        <v>3106.5</v>
      </c>
      <c r="K196" s="7">
        <v>2180</v>
      </c>
      <c r="L196" s="12">
        <f t="shared" ref="L196:L259" si="14">J196-K196</f>
        <v>926.5</v>
      </c>
      <c r="M196" s="8">
        <v>41883</v>
      </c>
      <c r="N196" s="9"/>
      <c r="O196" s="7"/>
      <c r="P196" s="10"/>
    </row>
    <row r="197" spans="1:16" ht="15.75" customHeight="1" x14ac:dyDescent="0.3">
      <c r="A197" s="11" t="s">
        <v>16</v>
      </c>
      <c r="B197" s="11" t="s">
        <v>17</v>
      </c>
      <c r="C197" s="12" t="s">
        <v>29</v>
      </c>
      <c r="D197" s="12" t="s">
        <v>33</v>
      </c>
      <c r="E197" s="11">
        <v>2074</v>
      </c>
      <c r="F197" s="12">
        <v>10</v>
      </c>
      <c r="G197" s="12">
        <v>20</v>
      </c>
      <c r="H197" s="7">
        <f t="shared" ref="H197:H260" si="15">E197*G197</f>
        <v>41480</v>
      </c>
      <c r="I197" s="7">
        <f t="shared" si="12"/>
        <v>2074</v>
      </c>
      <c r="J197" s="7">
        <f t="shared" si="13"/>
        <v>39406</v>
      </c>
      <c r="K197" s="12">
        <v>20740</v>
      </c>
      <c r="L197" s="12">
        <f t="shared" si="14"/>
        <v>18666</v>
      </c>
      <c r="M197" s="13">
        <v>41883</v>
      </c>
      <c r="N197" s="14"/>
      <c r="O197" s="12"/>
      <c r="P197" s="15"/>
    </row>
    <row r="198" spans="1:16" ht="15.75" customHeight="1" x14ac:dyDescent="0.3">
      <c r="A198" s="6" t="s">
        <v>16</v>
      </c>
      <c r="B198" s="6" t="s">
        <v>28</v>
      </c>
      <c r="C198" s="7" t="s">
        <v>29</v>
      </c>
      <c r="D198" s="7" t="s">
        <v>33</v>
      </c>
      <c r="E198" s="6">
        <v>1056</v>
      </c>
      <c r="F198" s="7">
        <v>10</v>
      </c>
      <c r="G198" s="7">
        <v>20</v>
      </c>
      <c r="H198" s="7">
        <f t="shared" si="15"/>
        <v>21120</v>
      </c>
      <c r="I198" s="7">
        <f t="shared" si="12"/>
        <v>1056</v>
      </c>
      <c r="J198" s="7">
        <f t="shared" si="13"/>
        <v>20064</v>
      </c>
      <c r="K198" s="7">
        <v>10560</v>
      </c>
      <c r="L198" s="12">
        <f t="shared" si="14"/>
        <v>9504</v>
      </c>
      <c r="M198" s="8">
        <v>41883</v>
      </c>
      <c r="N198" s="9"/>
      <c r="O198" s="7"/>
      <c r="P198" s="10"/>
    </row>
    <row r="199" spans="1:16" ht="15.75" customHeight="1" x14ac:dyDescent="0.3">
      <c r="A199" s="11" t="s">
        <v>21</v>
      </c>
      <c r="B199" s="11" t="s">
        <v>28</v>
      </c>
      <c r="C199" s="12" t="s">
        <v>29</v>
      </c>
      <c r="D199" s="12" t="s">
        <v>33</v>
      </c>
      <c r="E199" s="11">
        <v>671</v>
      </c>
      <c r="F199" s="12">
        <v>10</v>
      </c>
      <c r="G199" s="12">
        <v>15</v>
      </c>
      <c r="H199" s="7">
        <f t="shared" si="15"/>
        <v>10065</v>
      </c>
      <c r="I199" s="7">
        <f t="shared" si="12"/>
        <v>503.25</v>
      </c>
      <c r="J199" s="7">
        <f t="shared" si="13"/>
        <v>9561.75</v>
      </c>
      <c r="K199" s="12">
        <v>6710</v>
      </c>
      <c r="L199" s="12">
        <f t="shared" si="14"/>
        <v>2851.75</v>
      </c>
      <c r="M199" s="13">
        <v>41548</v>
      </c>
      <c r="N199" s="14"/>
      <c r="O199" s="12"/>
      <c r="P199" s="15"/>
    </row>
    <row r="200" spans="1:16" ht="15.75" customHeight="1" x14ac:dyDescent="0.3">
      <c r="A200" s="6" t="s">
        <v>21</v>
      </c>
      <c r="B200" s="6" t="s">
        <v>23</v>
      </c>
      <c r="C200" s="7" t="s">
        <v>29</v>
      </c>
      <c r="D200" s="7" t="s">
        <v>33</v>
      </c>
      <c r="E200" s="6">
        <v>1514</v>
      </c>
      <c r="F200" s="7">
        <v>10</v>
      </c>
      <c r="G200" s="7">
        <v>15</v>
      </c>
      <c r="H200" s="7">
        <f t="shared" si="15"/>
        <v>22710</v>
      </c>
      <c r="I200" s="7">
        <f t="shared" si="12"/>
        <v>1135.5</v>
      </c>
      <c r="J200" s="7">
        <f t="shared" si="13"/>
        <v>21574.5</v>
      </c>
      <c r="K200" s="7">
        <v>15140</v>
      </c>
      <c r="L200" s="12">
        <f t="shared" si="14"/>
        <v>6434.5</v>
      </c>
      <c r="M200" s="8">
        <v>41548</v>
      </c>
      <c r="N200" s="9"/>
      <c r="O200" s="7"/>
      <c r="P200" s="10"/>
    </row>
    <row r="201" spans="1:16" ht="15.75" customHeight="1" x14ac:dyDescent="0.3">
      <c r="A201" s="11" t="s">
        <v>16</v>
      </c>
      <c r="B201" s="11" t="s">
        <v>28</v>
      </c>
      <c r="C201" s="12" t="s">
        <v>29</v>
      </c>
      <c r="D201" s="12" t="s">
        <v>33</v>
      </c>
      <c r="E201" s="11">
        <v>274</v>
      </c>
      <c r="F201" s="12">
        <v>10</v>
      </c>
      <c r="G201" s="12">
        <v>350</v>
      </c>
      <c r="H201" s="7">
        <f t="shared" si="15"/>
        <v>95900</v>
      </c>
      <c r="I201" s="7">
        <f t="shared" si="12"/>
        <v>4795</v>
      </c>
      <c r="J201" s="7">
        <f t="shared" si="13"/>
        <v>91105</v>
      </c>
      <c r="K201" s="12">
        <v>71240</v>
      </c>
      <c r="L201" s="12">
        <f t="shared" si="14"/>
        <v>19865</v>
      </c>
      <c r="M201" s="13">
        <v>41974</v>
      </c>
      <c r="N201" s="14"/>
      <c r="O201" s="12"/>
      <c r="P201" s="15"/>
    </row>
    <row r="202" spans="1:16" ht="15.75" customHeight="1" x14ac:dyDescent="0.3">
      <c r="A202" s="6" t="s">
        <v>26</v>
      </c>
      <c r="B202" s="6" t="s">
        <v>23</v>
      </c>
      <c r="C202" s="7" t="s">
        <v>29</v>
      </c>
      <c r="D202" s="7" t="s">
        <v>33</v>
      </c>
      <c r="E202" s="6">
        <v>1138</v>
      </c>
      <c r="F202" s="7">
        <v>10</v>
      </c>
      <c r="G202" s="7">
        <v>125</v>
      </c>
      <c r="H202" s="7">
        <f t="shared" si="15"/>
        <v>142250</v>
      </c>
      <c r="I202" s="7">
        <f t="shared" si="12"/>
        <v>7112.5</v>
      </c>
      <c r="J202" s="7">
        <f t="shared" si="13"/>
        <v>135137.5</v>
      </c>
      <c r="K202" s="7">
        <v>136560</v>
      </c>
      <c r="L202" s="12">
        <f t="shared" si="14"/>
        <v>-1422.5</v>
      </c>
      <c r="M202" s="8">
        <v>41974</v>
      </c>
      <c r="N202" s="9"/>
      <c r="O202" s="7"/>
      <c r="P202" s="10"/>
    </row>
    <row r="203" spans="1:16" ht="15.75" customHeight="1" x14ac:dyDescent="0.3">
      <c r="A203" s="11" t="s">
        <v>25</v>
      </c>
      <c r="B203" s="11" t="s">
        <v>28</v>
      </c>
      <c r="C203" s="12" t="s">
        <v>30</v>
      </c>
      <c r="D203" s="12" t="s">
        <v>33</v>
      </c>
      <c r="E203" s="11">
        <v>1465</v>
      </c>
      <c r="F203" s="12">
        <v>120</v>
      </c>
      <c r="G203" s="12">
        <v>12</v>
      </c>
      <c r="H203" s="7">
        <f t="shared" si="15"/>
        <v>17580</v>
      </c>
      <c r="I203" s="7">
        <f t="shared" si="12"/>
        <v>879</v>
      </c>
      <c r="J203" s="7">
        <f t="shared" si="13"/>
        <v>16701</v>
      </c>
      <c r="K203" s="12">
        <v>4395</v>
      </c>
      <c r="L203" s="12">
        <f t="shared" si="14"/>
        <v>12306</v>
      </c>
      <c r="M203" s="13">
        <v>41699</v>
      </c>
      <c r="N203" s="14"/>
      <c r="O203" s="12"/>
      <c r="P203" s="15"/>
    </row>
    <row r="204" spans="1:16" ht="15.75" customHeight="1" x14ac:dyDescent="0.3">
      <c r="A204" s="6" t="s">
        <v>16</v>
      </c>
      <c r="B204" s="6" t="s">
        <v>17</v>
      </c>
      <c r="C204" s="7" t="s">
        <v>30</v>
      </c>
      <c r="D204" s="7" t="s">
        <v>33</v>
      </c>
      <c r="E204" s="6">
        <v>2646</v>
      </c>
      <c r="F204" s="7">
        <v>120</v>
      </c>
      <c r="G204" s="7">
        <v>20</v>
      </c>
      <c r="H204" s="7">
        <f t="shared" si="15"/>
        <v>52920</v>
      </c>
      <c r="I204" s="7">
        <f t="shared" si="12"/>
        <v>2646</v>
      </c>
      <c r="J204" s="7">
        <f t="shared" si="13"/>
        <v>50274</v>
      </c>
      <c r="K204" s="7">
        <v>26460</v>
      </c>
      <c r="L204" s="12">
        <f t="shared" si="14"/>
        <v>23814</v>
      </c>
      <c r="M204" s="8">
        <v>41518</v>
      </c>
      <c r="N204" s="9"/>
      <c r="O204" s="7"/>
      <c r="P204" s="10"/>
    </row>
    <row r="205" spans="1:16" ht="15.75" customHeight="1" x14ac:dyDescent="0.3">
      <c r="A205" s="11" t="s">
        <v>16</v>
      </c>
      <c r="B205" s="11" t="s">
        <v>22</v>
      </c>
      <c r="C205" s="12" t="s">
        <v>30</v>
      </c>
      <c r="D205" s="12" t="s">
        <v>33</v>
      </c>
      <c r="E205" s="11">
        <v>2177</v>
      </c>
      <c r="F205" s="12">
        <v>120</v>
      </c>
      <c r="G205" s="12">
        <v>350</v>
      </c>
      <c r="H205" s="7">
        <f t="shared" si="15"/>
        <v>761950</v>
      </c>
      <c r="I205" s="7">
        <f t="shared" si="12"/>
        <v>38097.5</v>
      </c>
      <c r="J205" s="7">
        <f t="shared" si="13"/>
        <v>723852.5</v>
      </c>
      <c r="K205" s="12">
        <v>566020</v>
      </c>
      <c r="L205" s="12">
        <f t="shared" si="14"/>
        <v>157832.5</v>
      </c>
      <c r="M205" s="13">
        <v>41913</v>
      </c>
      <c r="N205" s="14"/>
      <c r="O205" s="12"/>
      <c r="P205" s="15"/>
    </row>
    <row r="206" spans="1:16" ht="15.75" customHeight="1" x14ac:dyDescent="0.3">
      <c r="A206" s="6" t="s">
        <v>25</v>
      </c>
      <c r="B206" s="6" t="s">
        <v>22</v>
      </c>
      <c r="C206" s="7" t="s">
        <v>31</v>
      </c>
      <c r="D206" s="7" t="s">
        <v>33</v>
      </c>
      <c r="E206" s="6">
        <v>866</v>
      </c>
      <c r="F206" s="7">
        <v>250</v>
      </c>
      <c r="G206" s="7">
        <v>12</v>
      </c>
      <c r="H206" s="7">
        <f t="shared" si="15"/>
        <v>10392</v>
      </c>
      <c r="I206" s="7">
        <f t="shared" si="12"/>
        <v>519.6</v>
      </c>
      <c r="J206" s="7">
        <f t="shared" si="13"/>
        <v>9872.4</v>
      </c>
      <c r="K206" s="7">
        <v>2598</v>
      </c>
      <c r="L206" s="12">
        <f t="shared" si="14"/>
        <v>7274.4</v>
      </c>
      <c r="M206" s="8">
        <v>41760</v>
      </c>
      <c r="N206" s="9"/>
      <c r="O206" s="7"/>
      <c r="P206" s="10"/>
    </row>
    <row r="207" spans="1:16" ht="15.75" customHeight="1" x14ac:dyDescent="0.3">
      <c r="A207" s="11" t="s">
        <v>16</v>
      </c>
      <c r="B207" s="11" t="s">
        <v>28</v>
      </c>
      <c r="C207" s="12" t="s">
        <v>31</v>
      </c>
      <c r="D207" s="12" t="s">
        <v>33</v>
      </c>
      <c r="E207" s="11">
        <v>349</v>
      </c>
      <c r="F207" s="12">
        <v>250</v>
      </c>
      <c r="G207" s="12">
        <v>350</v>
      </c>
      <c r="H207" s="7">
        <f t="shared" si="15"/>
        <v>122150</v>
      </c>
      <c r="I207" s="7">
        <f t="shared" si="12"/>
        <v>6107.5</v>
      </c>
      <c r="J207" s="7">
        <f t="shared" si="13"/>
        <v>116042.5</v>
      </c>
      <c r="K207" s="12">
        <v>90740</v>
      </c>
      <c r="L207" s="12">
        <f t="shared" si="14"/>
        <v>25302.5</v>
      </c>
      <c r="M207" s="13">
        <v>41518</v>
      </c>
      <c r="N207" s="14"/>
      <c r="O207" s="12"/>
      <c r="P207" s="15"/>
    </row>
    <row r="208" spans="1:16" ht="15.75" customHeight="1" x14ac:dyDescent="0.3">
      <c r="A208" s="6" t="s">
        <v>16</v>
      </c>
      <c r="B208" s="6" t="s">
        <v>22</v>
      </c>
      <c r="C208" s="7" t="s">
        <v>31</v>
      </c>
      <c r="D208" s="7" t="s">
        <v>33</v>
      </c>
      <c r="E208" s="6">
        <v>2177</v>
      </c>
      <c r="F208" s="7">
        <v>250</v>
      </c>
      <c r="G208" s="7">
        <v>350</v>
      </c>
      <c r="H208" s="7">
        <f t="shared" si="15"/>
        <v>761950</v>
      </c>
      <c r="I208" s="7">
        <f t="shared" si="12"/>
        <v>38097.5</v>
      </c>
      <c r="J208" s="7">
        <f t="shared" si="13"/>
        <v>723852.5</v>
      </c>
      <c r="K208" s="7">
        <v>566020</v>
      </c>
      <c r="L208" s="12">
        <f t="shared" si="14"/>
        <v>157832.5</v>
      </c>
      <c r="M208" s="8">
        <v>41913</v>
      </c>
      <c r="N208" s="9"/>
      <c r="O208" s="7"/>
      <c r="P208" s="10"/>
    </row>
    <row r="209" spans="1:16" ht="15.75" customHeight="1" x14ac:dyDescent="0.3">
      <c r="A209" s="11" t="s">
        <v>21</v>
      </c>
      <c r="B209" s="11" t="s">
        <v>23</v>
      </c>
      <c r="C209" s="12" t="s">
        <v>31</v>
      </c>
      <c r="D209" s="12" t="s">
        <v>33</v>
      </c>
      <c r="E209" s="11">
        <v>1514</v>
      </c>
      <c r="F209" s="12">
        <v>250</v>
      </c>
      <c r="G209" s="12">
        <v>15</v>
      </c>
      <c r="H209" s="7">
        <f t="shared" si="15"/>
        <v>22710</v>
      </c>
      <c r="I209" s="7">
        <f t="shared" si="12"/>
        <v>1135.5</v>
      </c>
      <c r="J209" s="7">
        <f t="shared" si="13"/>
        <v>21574.5</v>
      </c>
      <c r="K209" s="12">
        <v>15140</v>
      </c>
      <c r="L209" s="12">
        <f t="shared" si="14"/>
        <v>6434.5</v>
      </c>
      <c r="M209" s="13">
        <v>41548</v>
      </c>
      <c r="N209" s="14"/>
      <c r="O209" s="12"/>
      <c r="P209" s="15"/>
    </row>
    <row r="210" spans="1:16" ht="15.75" customHeight="1" x14ac:dyDescent="0.3">
      <c r="A210" s="6" t="s">
        <v>16</v>
      </c>
      <c r="B210" s="6" t="s">
        <v>23</v>
      </c>
      <c r="C210" s="7" t="s">
        <v>32</v>
      </c>
      <c r="D210" s="7" t="s">
        <v>33</v>
      </c>
      <c r="E210" s="6">
        <v>1865</v>
      </c>
      <c r="F210" s="7">
        <v>260</v>
      </c>
      <c r="G210" s="7">
        <v>350</v>
      </c>
      <c r="H210" s="7">
        <f t="shared" si="15"/>
        <v>652750</v>
      </c>
      <c r="I210" s="7">
        <f t="shared" si="12"/>
        <v>32637.5</v>
      </c>
      <c r="J210" s="7">
        <f t="shared" si="13"/>
        <v>620112.5</v>
      </c>
      <c r="K210" s="7">
        <v>484900</v>
      </c>
      <c r="L210" s="12">
        <f t="shared" si="14"/>
        <v>135212.5</v>
      </c>
      <c r="M210" s="8">
        <v>41671</v>
      </c>
      <c r="N210" s="9"/>
      <c r="O210" s="7"/>
      <c r="P210" s="10"/>
    </row>
    <row r="211" spans="1:16" ht="15.75" customHeight="1" x14ac:dyDescent="0.3">
      <c r="A211" s="11" t="s">
        <v>26</v>
      </c>
      <c r="B211" s="11" t="s">
        <v>23</v>
      </c>
      <c r="C211" s="12" t="s">
        <v>32</v>
      </c>
      <c r="D211" s="12" t="s">
        <v>33</v>
      </c>
      <c r="E211" s="11">
        <v>1074</v>
      </c>
      <c r="F211" s="12">
        <v>260</v>
      </c>
      <c r="G211" s="12">
        <v>125</v>
      </c>
      <c r="H211" s="7">
        <f t="shared" si="15"/>
        <v>134250</v>
      </c>
      <c r="I211" s="7">
        <f t="shared" si="12"/>
        <v>6712.5</v>
      </c>
      <c r="J211" s="7">
        <f t="shared" si="13"/>
        <v>127537.5</v>
      </c>
      <c r="K211" s="12">
        <v>128880</v>
      </c>
      <c r="L211" s="12">
        <f t="shared" si="14"/>
        <v>-1342.5</v>
      </c>
      <c r="M211" s="13">
        <v>41730</v>
      </c>
      <c r="N211" s="14"/>
      <c r="O211" s="12"/>
      <c r="P211" s="15"/>
    </row>
    <row r="212" spans="1:16" ht="15.75" customHeight="1" x14ac:dyDescent="0.3">
      <c r="A212" s="6" t="s">
        <v>16</v>
      </c>
      <c r="B212" s="6" t="s">
        <v>20</v>
      </c>
      <c r="C212" s="7" t="s">
        <v>32</v>
      </c>
      <c r="D212" s="7" t="s">
        <v>33</v>
      </c>
      <c r="E212" s="6">
        <v>1907</v>
      </c>
      <c r="F212" s="7">
        <v>260</v>
      </c>
      <c r="G212" s="7">
        <v>350</v>
      </c>
      <c r="H212" s="7">
        <f t="shared" si="15"/>
        <v>667450</v>
      </c>
      <c r="I212" s="7">
        <f t="shared" si="12"/>
        <v>33372.5</v>
      </c>
      <c r="J212" s="7">
        <f t="shared" si="13"/>
        <v>634077.5</v>
      </c>
      <c r="K212" s="7">
        <v>495820</v>
      </c>
      <c r="L212" s="12">
        <f t="shared" si="14"/>
        <v>138257.5</v>
      </c>
      <c r="M212" s="8">
        <v>41883</v>
      </c>
      <c r="N212" s="9"/>
      <c r="O212" s="7"/>
      <c r="P212" s="10"/>
    </row>
    <row r="213" spans="1:16" ht="15.75" customHeight="1" x14ac:dyDescent="0.3">
      <c r="A213" s="11" t="s">
        <v>21</v>
      </c>
      <c r="B213" s="11" t="s">
        <v>28</v>
      </c>
      <c r="C213" s="12" t="s">
        <v>32</v>
      </c>
      <c r="D213" s="12" t="s">
        <v>33</v>
      </c>
      <c r="E213" s="11">
        <v>671</v>
      </c>
      <c r="F213" s="12">
        <v>260</v>
      </c>
      <c r="G213" s="12">
        <v>15</v>
      </c>
      <c r="H213" s="7">
        <f t="shared" si="15"/>
        <v>10065</v>
      </c>
      <c r="I213" s="7">
        <f t="shared" si="12"/>
        <v>503.25</v>
      </c>
      <c r="J213" s="7">
        <f t="shared" si="13"/>
        <v>9561.75</v>
      </c>
      <c r="K213" s="12">
        <v>6710</v>
      </c>
      <c r="L213" s="12">
        <f t="shared" si="14"/>
        <v>2851.75</v>
      </c>
      <c r="M213" s="13">
        <v>41548</v>
      </c>
      <c r="N213" s="14"/>
      <c r="O213" s="12"/>
      <c r="P213" s="15"/>
    </row>
    <row r="214" spans="1:16" ht="15.75" customHeight="1" x14ac:dyDescent="0.3">
      <c r="A214" s="6" t="s">
        <v>16</v>
      </c>
      <c r="B214" s="6" t="s">
        <v>17</v>
      </c>
      <c r="C214" s="7" t="s">
        <v>32</v>
      </c>
      <c r="D214" s="7" t="s">
        <v>33</v>
      </c>
      <c r="E214" s="6">
        <v>1778</v>
      </c>
      <c r="F214" s="7">
        <v>260</v>
      </c>
      <c r="G214" s="7">
        <v>350</v>
      </c>
      <c r="H214" s="7">
        <f t="shared" si="15"/>
        <v>622300</v>
      </c>
      <c r="I214" s="7">
        <f t="shared" si="12"/>
        <v>31115</v>
      </c>
      <c r="J214" s="7">
        <f t="shared" si="13"/>
        <v>591185</v>
      </c>
      <c r="K214" s="7">
        <v>462280</v>
      </c>
      <c r="L214" s="12">
        <f t="shared" si="14"/>
        <v>128905</v>
      </c>
      <c r="M214" s="8">
        <v>41609</v>
      </c>
      <c r="N214" s="9"/>
      <c r="O214" s="7"/>
      <c r="P214" s="10"/>
    </row>
    <row r="215" spans="1:16" ht="15.75" customHeight="1" x14ac:dyDescent="0.3">
      <c r="A215" s="11" t="s">
        <v>16</v>
      </c>
      <c r="B215" s="11" t="s">
        <v>20</v>
      </c>
      <c r="C215" s="12" t="s">
        <v>24</v>
      </c>
      <c r="D215" s="12" t="s">
        <v>34</v>
      </c>
      <c r="E215" s="11">
        <v>1159</v>
      </c>
      <c r="F215" s="12">
        <v>5</v>
      </c>
      <c r="G215" s="12">
        <v>7</v>
      </c>
      <c r="H215" s="7">
        <f t="shared" si="15"/>
        <v>8113</v>
      </c>
      <c r="I215" s="7">
        <f t="shared" si="12"/>
        <v>811.30000000000007</v>
      </c>
      <c r="J215" s="7">
        <f t="shared" si="13"/>
        <v>7301.7</v>
      </c>
      <c r="K215" s="12">
        <v>5795</v>
      </c>
      <c r="L215" s="12">
        <f t="shared" si="14"/>
        <v>1506.6999999999998</v>
      </c>
      <c r="M215" s="13">
        <v>41548</v>
      </c>
      <c r="N215" s="14"/>
      <c r="O215" s="12"/>
      <c r="P215" s="15"/>
    </row>
    <row r="216" spans="1:16" ht="15.75" customHeight="1" x14ac:dyDescent="0.3">
      <c r="A216" s="6" t="s">
        <v>16</v>
      </c>
      <c r="B216" s="6" t="s">
        <v>20</v>
      </c>
      <c r="C216" s="7" t="s">
        <v>29</v>
      </c>
      <c r="D216" s="7" t="s">
        <v>34</v>
      </c>
      <c r="E216" s="6">
        <v>1372</v>
      </c>
      <c r="F216" s="7">
        <v>10</v>
      </c>
      <c r="G216" s="7">
        <v>7</v>
      </c>
      <c r="H216" s="7">
        <f t="shared" si="15"/>
        <v>9604</v>
      </c>
      <c r="I216" s="7">
        <f t="shared" si="12"/>
        <v>960.40000000000009</v>
      </c>
      <c r="J216" s="7">
        <f t="shared" si="13"/>
        <v>8643.6</v>
      </c>
      <c r="K216" s="7">
        <v>6860</v>
      </c>
      <c r="L216" s="12">
        <f t="shared" si="14"/>
        <v>1783.6000000000004</v>
      </c>
      <c r="M216" s="8">
        <v>41640</v>
      </c>
      <c r="N216" s="9"/>
      <c r="O216" s="7"/>
      <c r="P216" s="10"/>
    </row>
    <row r="217" spans="1:16" ht="15.75" customHeight="1" x14ac:dyDescent="0.3">
      <c r="A217" s="11" t="s">
        <v>16</v>
      </c>
      <c r="B217" s="11" t="s">
        <v>17</v>
      </c>
      <c r="C217" s="12" t="s">
        <v>29</v>
      </c>
      <c r="D217" s="12" t="s">
        <v>34</v>
      </c>
      <c r="E217" s="11">
        <v>2349</v>
      </c>
      <c r="F217" s="12">
        <v>10</v>
      </c>
      <c r="G217" s="12">
        <v>7</v>
      </c>
      <c r="H217" s="7">
        <f t="shared" si="15"/>
        <v>16443</v>
      </c>
      <c r="I217" s="7">
        <f t="shared" si="12"/>
        <v>1644.3000000000002</v>
      </c>
      <c r="J217" s="7">
        <f t="shared" si="13"/>
        <v>14798.7</v>
      </c>
      <c r="K217" s="12">
        <v>11745</v>
      </c>
      <c r="L217" s="12">
        <f t="shared" si="14"/>
        <v>3053.7000000000007</v>
      </c>
      <c r="M217" s="13">
        <v>41518</v>
      </c>
      <c r="N217" s="14"/>
      <c r="O217" s="12"/>
      <c r="P217" s="15"/>
    </row>
    <row r="218" spans="1:16" ht="15.75" customHeight="1" x14ac:dyDescent="0.3">
      <c r="A218" s="6" t="s">
        <v>16</v>
      </c>
      <c r="B218" s="6" t="s">
        <v>23</v>
      </c>
      <c r="C218" s="7" t="s">
        <v>29</v>
      </c>
      <c r="D218" s="7" t="s">
        <v>34</v>
      </c>
      <c r="E218" s="6">
        <v>2689</v>
      </c>
      <c r="F218" s="7">
        <v>10</v>
      </c>
      <c r="G218" s="7">
        <v>7</v>
      </c>
      <c r="H218" s="7">
        <f t="shared" si="15"/>
        <v>18823</v>
      </c>
      <c r="I218" s="7">
        <f t="shared" si="12"/>
        <v>1882.3000000000002</v>
      </c>
      <c r="J218" s="7">
        <f t="shared" si="13"/>
        <v>16940.7</v>
      </c>
      <c r="K218" s="7">
        <v>13445</v>
      </c>
      <c r="L218" s="12">
        <f t="shared" si="14"/>
        <v>3495.7000000000007</v>
      </c>
      <c r="M218" s="8">
        <v>41913</v>
      </c>
      <c r="N218" s="9"/>
      <c r="O218" s="7"/>
      <c r="P218" s="10"/>
    </row>
    <row r="219" spans="1:16" ht="15.75" customHeight="1" x14ac:dyDescent="0.3">
      <c r="A219" s="11" t="s">
        <v>25</v>
      </c>
      <c r="B219" s="11" t="s">
        <v>17</v>
      </c>
      <c r="C219" s="12" t="s">
        <v>29</v>
      </c>
      <c r="D219" s="12" t="s">
        <v>34</v>
      </c>
      <c r="E219" s="11">
        <v>2431</v>
      </c>
      <c r="F219" s="12">
        <v>10</v>
      </c>
      <c r="G219" s="12">
        <v>12</v>
      </c>
      <c r="H219" s="7">
        <f t="shared" si="15"/>
        <v>29172</v>
      </c>
      <c r="I219" s="7">
        <f t="shared" si="12"/>
        <v>2917.2000000000003</v>
      </c>
      <c r="J219" s="7">
        <f t="shared" si="13"/>
        <v>26254.799999999999</v>
      </c>
      <c r="K219" s="12">
        <v>7293</v>
      </c>
      <c r="L219" s="12">
        <f t="shared" si="14"/>
        <v>18961.8</v>
      </c>
      <c r="M219" s="13">
        <v>41974</v>
      </c>
      <c r="N219" s="14"/>
      <c r="O219" s="12"/>
      <c r="P219" s="15"/>
    </row>
    <row r="220" spans="1:16" ht="15.75" customHeight="1" x14ac:dyDescent="0.3">
      <c r="A220" s="6" t="s">
        <v>25</v>
      </c>
      <c r="B220" s="6" t="s">
        <v>17</v>
      </c>
      <c r="C220" s="7" t="s">
        <v>30</v>
      </c>
      <c r="D220" s="7" t="s">
        <v>34</v>
      </c>
      <c r="E220" s="6">
        <v>2431</v>
      </c>
      <c r="F220" s="7">
        <v>120</v>
      </c>
      <c r="G220" s="7">
        <v>12</v>
      </c>
      <c r="H220" s="7">
        <f t="shared" si="15"/>
        <v>29172</v>
      </c>
      <c r="I220" s="7">
        <f t="shared" si="12"/>
        <v>2917.2000000000003</v>
      </c>
      <c r="J220" s="7">
        <f t="shared" si="13"/>
        <v>26254.799999999999</v>
      </c>
      <c r="K220" s="7">
        <v>7293</v>
      </c>
      <c r="L220" s="12">
        <f t="shared" si="14"/>
        <v>18961.8</v>
      </c>
      <c r="M220" s="8">
        <v>41974</v>
      </c>
      <c r="N220" s="9"/>
      <c r="O220" s="7"/>
      <c r="P220" s="10"/>
    </row>
    <row r="221" spans="1:16" ht="15.75" customHeight="1" x14ac:dyDescent="0.3">
      <c r="A221" s="11" t="s">
        <v>16</v>
      </c>
      <c r="B221" s="11" t="s">
        <v>23</v>
      </c>
      <c r="C221" s="12" t="s">
        <v>31</v>
      </c>
      <c r="D221" s="12" t="s">
        <v>34</v>
      </c>
      <c r="E221" s="11">
        <v>2689</v>
      </c>
      <c r="F221" s="12">
        <v>250</v>
      </c>
      <c r="G221" s="12">
        <v>7</v>
      </c>
      <c r="H221" s="7">
        <f t="shared" si="15"/>
        <v>18823</v>
      </c>
      <c r="I221" s="7">
        <f t="shared" si="12"/>
        <v>1882.3000000000002</v>
      </c>
      <c r="J221" s="7">
        <f t="shared" si="13"/>
        <v>16940.7</v>
      </c>
      <c r="K221" s="12">
        <v>13445</v>
      </c>
      <c r="L221" s="12">
        <f t="shared" si="14"/>
        <v>3495.7000000000007</v>
      </c>
      <c r="M221" s="13">
        <v>41913</v>
      </c>
      <c r="N221" s="14"/>
      <c r="O221" s="12"/>
      <c r="P221" s="15"/>
    </row>
    <row r="222" spans="1:16" ht="15.75" customHeight="1" x14ac:dyDescent="0.3">
      <c r="A222" s="6" t="s">
        <v>16</v>
      </c>
      <c r="B222" s="6" t="s">
        <v>23</v>
      </c>
      <c r="C222" s="7" t="s">
        <v>32</v>
      </c>
      <c r="D222" s="7" t="s">
        <v>34</v>
      </c>
      <c r="E222" s="6">
        <v>1683</v>
      </c>
      <c r="F222" s="7">
        <v>260</v>
      </c>
      <c r="G222" s="7">
        <v>7</v>
      </c>
      <c r="H222" s="7">
        <f t="shared" si="15"/>
        <v>11781</v>
      </c>
      <c r="I222" s="7">
        <f t="shared" si="12"/>
        <v>1178.1000000000001</v>
      </c>
      <c r="J222" s="7">
        <f t="shared" si="13"/>
        <v>10602.9</v>
      </c>
      <c r="K222" s="7">
        <v>8415</v>
      </c>
      <c r="L222" s="12">
        <f t="shared" si="14"/>
        <v>2187.8999999999996</v>
      </c>
      <c r="M222" s="8">
        <v>41821</v>
      </c>
      <c r="N222" s="9"/>
      <c r="O222" s="7"/>
      <c r="P222" s="10"/>
    </row>
    <row r="223" spans="1:16" ht="15.75" customHeight="1" x14ac:dyDescent="0.3">
      <c r="A223" s="11" t="s">
        <v>25</v>
      </c>
      <c r="B223" s="11" t="s">
        <v>23</v>
      </c>
      <c r="C223" s="12" t="s">
        <v>32</v>
      </c>
      <c r="D223" s="12" t="s">
        <v>34</v>
      </c>
      <c r="E223" s="11">
        <v>1123</v>
      </c>
      <c r="F223" s="12">
        <v>260</v>
      </c>
      <c r="G223" s="12">
        <v>12</v>
      </c>
      <c r="H223" s="7">
        <f t="shared" si="15"/>
        <v>13476</v>
      </c>
      <c r="I223" s="7">
        <f t="shared" si="12"/>
        <v>1347.6000000000001</v>
      </c>
      <c r="J223" s="7">
        <f t="shared" si="13"/>
        <v>12128.4</v>
      </c>
      <c r="K223" s="12">
        <v>3369</v>
      </c>
      <c r="L223" s="12">
        <f t="shared" si="14"/>
        <v>8759.4</v>
      </c>
      <c r="M223" s="13">
        <v>41852</v>
      </c>
      <c r="N223" s="14"/>
      <c r="O223" s="12"/>
      <c r="P223" s="15"/>
    </row>
    <row r="224" spans="1:16" ht="15.75" customHeight="1" x14ac:dyDescent="0.3">
      <c r="A224" s="6" t="s">
        <v>16</v>
      </c>
      <c r="B224" s="6" t="s">
        <v>20</v>
      </c>
      <c r="C224" s="7" t="s">
        <v>32</v>
      </c>
      <c r="D224" s="7" t="s">
        <v>34</v>
      </c>
      <c r="E224" s="6">
        <v>1159</v>
      </c>
      <c r="F224" s="7">
        <v>260</v>
      </c>
      <c r="G224" s="7">
        <v>7</v>
      </c>
      <c r="H224" s="7">
        <f t="shared" si="15"/>
        <v>8113</v>
      </c>
      <c r="I224" s="7">
        <f t="shared" si="12"/>
        <v>811.30000000000007</v>
      </c>
      <c r="J224" s="7">
        <f t="shared" si="13"/>
        <v>7301.7</v>
      </c>
      <c r="K224" s="7">
        <v>5795</v>
      </c>
      <c r="L224" s="12">
        <f t="shared" si="14"/>
        <v>1506.6999999999998</v>
      </c>
      <c r="M224" s="8">
        <v>41548</v>
      </c>
      <c r="N224" s="9"/>
      <c r="O224" s="7"/>
      <c r="P224" s="10"/>
    </row>
    <row r="225" spans="1:16" ht="15.75" customHeight="1" x14ac:dyDescent="0.3">
      <c r="A225" s="11" t="s">
        <v>25</v>
      </c>
      <c r="B225" s="11" t="s">
        <v>22</v>
      </c>
      <c r="C225" s="12" t="s">
        <v>18</v>
      </c>
      <c r="D225" s="12" t="s">
        <v>34</v>
      </c>
      <c r="E225" s="11">
        <v>1865</v>
      </c>
      <c r="F225" s="12">
        <v>3</v>
      </c>
      <c r="G225" s="12">
        <v>12</v>
      </c>
      <c r="H225" s="7">
        <f t="shared" si="15"/>
        <v>22380</v>
      </c>
      <c r="I225" s="7">
        <f t="shared" si="12"/>
        <v>2238</v>
      </c>
      <c r="J225" s="7">
        <f t="shared" si="13"/>
        <v>20142</v>
      </c>
      <c r="K225" s="12">
        <v>5595</v>
      </c>
      <c r="L225" s="12">
        <f t="shared" si="14"/>
        <v>14547</v>
      </c>
      <c r="M225" s="13">
        <v>41671</v>
      </c>
      <c r="N225" s="14"/>
      <c r="O225" s="12"/>
      <c r="P225" s="15"/>
    </row>
    <row r="226" spans="1:16" ht="15.75" customHeight="1" x14ac:dyDescent="0.3">
      <c r="A226" s="6" t="s">
        <v>25</v>
      </c>
      <c r="B226" s="6" t="s">
        <v>20</v>
      </c>
      <c r="C226" s="7" t="s">
        <v>18</v>
      </c>
      <c r="D226" s="7" t="s">
        <v>34</v>
      </c>
      <c r="E226" s="6">
        <v>1116</v>
      </c>
      <c r="F226" s="7">
        <v>3</v>
      </c>
      <c r="G226" s="7">
        <v>12</v>
      </c>
      <c r="H226" s="7">
        <f t="shared" si="15"/>
        <v>13392</v>
      </c>
      <c r="I226" s="7">
        <f t="shared" si="12"/>
        <v>1339.2</v>
      </c>
      <c r="J226" s="7">
        <f t="shared" si="13"/>
        <v>12052.8</v>
      </c>
      <c r="K226" s="7">
        <v>3348</v>
      </c>
      <c r="L226" s="12">
        <f t="shared" si="14"/>
        <v>8704.7999999999993</v>
      </c>
      <c r="M226" s="8">
        <v>41671</v>
      </c>
      <c r="N226" s="9"/>
      <c r="O226" s="7"/>
      <c r="P226" s="10"/>
    </row>
    <row r="227" spans="1:16" ht="15.75" customHeight="1" x14ac:dyDescent="0.3">
      <c r="A227" s="11" t="s">
        <v>16</v>
      </c>
      <c r="B227" s="11" t="s">
        <v>22</v>
      </c>
      <c r="C227" s="12" t="s">
        <v>18</v>
      </c>
      <c r="D227" s="12" t="s">
        <v>34</v>
      </c>
      <c r="E227" s="11">
        <v>1563</v>
      </c>
      <c r="F227" s="12">
        <v>3</v>
      </c>
      <c r="G227" s="12">
        <v>20</v>
      </c>
      <c r="H227" s="7">
        <f t="shared" si="15"/>
        <v>31260</v>
      </c>
      <c r="I227" s="7">
        <f t="shared" si="12"/>
        <v>3126</v>
      </c>
      <c r="J227" s="7">
        <f t="shared" si="13"/>
        <v>28134</v>
      </c>
      <c r="K227" s="12">
        <v>15630</v>
      </c>
      <c r="L227" s="12">
        <f t="shared" si="14"/>
        <v>12504</v>
      </c>
      <c r="M227" s="13">
        <v>41760</v>
      </c>
      <c r="N227" s="14"/>
      <c r="O227" s="12"/>
      <c r="P227" s="15"/>
    </row>
    <row r="228" spans="1:16" ht="15.75" customHeight="1" x14ac:dyDescent="0.3">
      <c r="A228" s="6" t="s">
        <v>27</v>
      </c>
      <c r="B228" s="6" t="s">
        <v>28</v>
      </c>
      <c r="C228" s="7" t="s">
        <v>18</v>
      </c>
      <c r="D228" s="7" t="s">
        <v>34</v>
      </c>
      <c r="E228" s="6">
        <v>991</v>
      </c>
      <c r="F228" s="7">
        <v>3</v>
      </c>
      <c r="G228" s="7">
        <v>300</v>
      </c>
      <c r="H228" s="7">
        <f t="shared" si="15"/>
        <v>297300</v>
      </c>
      <c r="I228" s="7">
        <f t="shared" si="12"/>
        <v>29730</v>
      </c>
      <c r="J228" s="7">
        <f t="shared" si="13"/>
        <v>267570</v>
      </c>
      <c r="K228" s="7">
        <v>247750</v>
      </c>
      <c r="L228" s="12">
        <f t="shared" si="14"/>
        <v>19820</v>
      </c>
      <c r="M228" s="8">
        <v>41791</v>
      </c>
      <c r="N228" s="9"/>
      <c r="O228" s="7"/>
      <c r="P228" s="10"/>
    </row>
    <row r="229" spans="1:16" ht="15.75" customHeight="1" x14ac:dyDescent="0.3">
      <c r="A229" s="11" t="s">
        <v>16</v>
      </c>
      <c r="B229" s="11" t="s">
        <v>20</v>
      </c>
      <c r="C229" s="12" t="s">
        <v>18</v>
      </c>
      <c r="D229" s="12" t="s">
        <v>34</v>
      </c>
      <c r="E229" s="11">
        <v>1016</v>
      </c>
      <c r="F229" s="12">
        <v>3</v>
      </c>
      <c r="G229" s="12">
        <v>7</v>
      </c>
      <c r="H229" s="7">
        <f t="shared" si="15"/>
        <v>7112</v>
      </c>
      <c r="I229" s="7">
        <f t="shared" si="12"/>
        <v>711.2</v>
      </c>
      <c r="J229" s="7">
        <f t="shared" si="13"/>
        <v>6400.8</v>
      </c>
      <c r="K229" s="12">
        <v>5080</v>
      </c>
      <c r="L229" s="12">
        <f t="shared" si="14"/>
        <v>1320.8000000000002</v>
      </c>
      <c r="M229" s="13">
        <v>41579</v>
      </c>
      <c r="N229" s="14"/>
      <c r="O229" s="12"/>
      <c r="P229" s="15"/>
    </row>
    <row r="230" spans="1:16" ht="15.75" customHeight="1" x14ac:dyDescent="0.3">
      <c r="A230" s="6" t="s">
        <v>21</v>
      </c>
      <c r="B230" s="6" t="s">
        <v>23</v>
      </c>
      <c r="C230" s="7" t="s">
        <v>18</v>
      </c>
      <c r="D230" s="7" t="s">
        <v>34</v>
      </c>
      <c r="E230" s="6">
        <v>2791</v>
      </c>
      <c r="F230" s="7">
        <v>3</v>
      </c>
      <c r="G230" s="7">
        <v>15</v>
      </c>
      <c r="H230" s="7">
        <f t="shared" si="15"/>
        <v>41865</v>
      </c>
      <c r="I230" s="7">
        <f t="shared" si="12"/>
        <v>4186.5</v>
      </c>
      <c r="J230" s="7">
        <f t="shared" si="13"/>
        <v>37678.5</v>
      </c>
      <c r="K230" s="7">
        <v>27910</v>
      </c>
      <c r="L230" s="12">
        <f t="shared" si="14"/>
        <v>9768.5</v>
      </c>
      <c r="M230" s="8">
        <v>41944</v>
      </c>
      <c r="N230" s="9"/>
      <c r="O230" s="7"/>
      <c r="P230" s="10"/>
    </row>
    <row r="231" spans="1:16" ht="15.75" customHeight="1" x14ac:dyDescent="0.3">
      <c r="A231" s="11" t="s">
        <v>16</v>
      </c>
      <c r="B231" s="11" t="s">
        <v>28</v>
      </c>
      <c r="C231" s="12" t="s">
        <v>18</v>
      </c>
      <c r="D231" s="12" t="s">
        <v>34</v>
      </c>
      <c r="E231" s="11">
        <v>570</v>
      </c>
      <c r="F231" s="12">
        <v>3</v>
      </c>
      <c r="G231" s="12">
        <v>7</v>
      </c>
      <c r="H231" s="7">
        <f t="shared" si="15"/>
        <v>3990</v>
      </c>
      <c r="I231" s="7">
        <f t="shared" si="12"/>
        <v>399</v>
      </c>
      <c r="J231" s="7">
        <f t="shared" si="13"/>
        <v>3591</v>
      </c>
      <c r="K231" s="12">
        <v>2850</v>
      </c>
      <c r="L231" s="12">
        <f t="shared" si="14"/>
        <v>741</v>
      </c>
      <c r="M231" s="13">
        <v>41974</v>
      </c>
      <c r="N231" s="14"/>
      <c r="O231" s="12"/>
      <c r="P231" s="15"/>
    </row>
    <row r="232" spans="1:16" ht="15.75" customHeight="1" x14ac:dyDescent="0.3">
      <c r="A232" s="6" t="s">
        <v>16</v>
      </c>
      <c r="B232" s="6" t="s">
        <v>22</v>
      </c>
      <c r="C232" s="7" t="s">
        <v>18</v>
      </c>
      <c r="D232" s="7" t="s">
        <v>34</v>
      </c>
      <c r="E232" s="6">
        <v>2487</v>
      </c>
      <c r="F232" s="7">
        <v>3</v>
      </c>
      <c r="G232" s="7">
        <v>7</v>
      </c>
      <c r="H232" s="7">
        <f t="shared" si="15"/>
        <v>17409</v>
      </c>
      <c r="I232" s="7">
        <f t="shared" si="12"/>
        <v>1740.9</v>
      </c>
      <c r="J232" s="7">
        <f t="shared" si="13"/>
        <v>15668.1</v>
      </c>
      <c r="K232" s="7">
        <v>12435</v>
      </c>
      <c r="L232" s="12">
        <f t="shared" si="14"/>
        <v>3233.1000000000004</v>
      </c>
      <c r="M232" s="8">
        <v>41974</v>
      </c>
      <c r="N232" s="9"/>
      <c r="O232" s="7"/>
      <c r="P232" s="10"/>
    </row>
    <row r="233" spans="1:16" ht="15.75" customHeight="1" x14ac:dyDescent="0.3">
      <c r="A233" s="11" t="s">
        <v>16</v>
      </c>
      <c r="B233" s="11" t="s">
        <v>22</v>
      </c>
      <c r="C233" s="12" t="s">
        <v>24</v>
      </c>
      <c r="D233" s="12" t="s">
        <v>34</v>
      </c>
      <c r="E233" s="11">
        <v>1384.5</v>
      </c>
      <c r="F233" s="12">
        <v>5</v>
      </c>
      <c r="G233" s="12">
        <v>350</v>
      </c>
      <c r="H233" s="7">
        <f t="shared" si="15"/>
        <v>484575</v>
      </c>
      <c r="I233" s="7">
        <f t="shared" si="12"/>
        <v>48457.5</v>
      </c>
      <c r="J233" s="7">
        <f t="shared" si="13"/>
        <v>436117.5</v>
      </c>
      <c r="K233" s="12">
        <v>359970</v>
      </c>
      <c r="L233" s="12">
        <f t="shared" si="14"/>
        <v>76147.5</v>
      </c>
      <c r="M233" s="13">
        <v>41640</v>
      </c>
      <c r="N233" s="14"/>
      <c r="O233" s="12"/>
      <c r="P233" s="15"/>
    </row>
    <row r="234" spans="1:16" ht="15.75" customHeight="1" x14ac:dyDescent="0.3">
      <c r="A234" s="6" t="s">
        <v>26</v>
      </c>
      <c r="B234" s="6" t="s">
        <v>28</v>
      </c>
      <c r="C234" s="7" t="s">
        <v>24</v>
      </c>
      <c r="D234" s="7" t="s">
        <v>34</v>
      </c>
      <c r="E234" s="6">
        <v>3627</v>
      </c>
      <c r="F234" s="7">
        <v>5</v>
      </c>
      <c r="G234" s="7">
        <v>125</v>
      </c>
      <c r="H234" s="7">
        <f t="shared" si="15"/>
        <v>453375</v>
      </c>
      <c r="I234" s="7">
        <f t="shared" si="12"/>
        <v>45337.5</v>
      </c>
      <c r="J234" s="7">
        <f t="shared" si="13"/>
        <v>408037.5</v>
      </c>
      <c r="K234" s="7">
        <v>435240</v>
      </c>
      <c r="L234" s="12">
        <f t="shared" si="14"/>
        <v>-27202.5</v>
      </c>
      <c r="M234" s="8">
        <v>41821</v>
      </c>
      <c r="N234" s="9"/>
      <c r="O234" s="7"/>
      <c r="P234" s="10"/>
    </row>
    <row r="235" spans="1:16" ht="15.75" customHeight="1" x14ac:dyDescent="0.3">
      <c r="A235" s="11" t="s">
        <v>16</v>
      </c>
      <c r="B235" s="11" t="s">
        <v>23</v>
      </c>
      <c r="C235" s="12" t="s">
        <v>24</v>
      </c>
      <c r="D235" s="12" t="s">
        <v>34</v>
      </c>
      <c r="E235" s="11">
        <v>720</v>
      </c>
      <c r="F235" s="12">
        <v>5</v>
      </c>
      <c r="G235" s="12">
        <v>350</v>
      </c>
      <c r="H235" s="7">
        <f t="shared" si="15"/>
        <v>252000</v>
      </c>
      <c r="I235" s="7">
        <f t="shared" si="12"/>
        <v>25200</v>
      </c>
      <c r="J235" s="7">
        <f t="shared" si="13"/>
        <v>226800</v>
      </c>
      <c r="K235" s="12">
        <v>187200</v>
      </c>
      <c r="L235" s="12">
        <f t="shared" si="14"/>
        <v>39600</v>
      </c>
      <c r="M235" s="13">
        <v>41518</v>
      </c>
      <c r="N235" s="14"/>
      <c r="O235" s="12"/>
      <c r="P235" s="15"/>
    </row>
    <row r="236" spans="1:16" ht="15.75" customHeight="1" x14ac:dyDescent="0.3">
      <c r="A236" s="6" t="s">
        <v>25</v>
      </c>
      <c r="B236" s="6" t="s">
        <v>20</v>
      </c>
      <c r="C236" s="7" t="s">
        <v>24</v>
      </c>
      <c r="D236" s="7" t="s">
        <v>34</v>
      </c>
      <c r="E236" s="6">
        <v>2342</v>
      </c>
      <c r="F236" s="7">
        <v>5</v>
      </c>
      <c r="G236" s="7">
        <v>12</v>
      </c>
      <c r="H236" s="7">
        <f t="shared" si="15"/>
        <v>28104</v>
      </c>
      <c r="I236" s="7">
        <f t="shared" si="12"/>
        <v>2810.4</v>
      </c>
      <c r="J236" s="7">
        <f t="shared" si="13"/>
        <v>25293.599999999999</v>
      </c>
      <c r="K236" s="7">
        <v>7026</v>
      </c>
      <c r="L236" s="12">
        <f t="shared" si="14"/>
        <v>18267.599999999999</v>
      </c>
      <c r="M236" s="8">
        <v>41944</v>
      </c>
      <c r="N236" s="9"/>
      <c r="O236" s="7"/>
      <c r="P236" s="10"/>
    </row>
    <row r="237" spans="1:16" ht="15.75" customHeight="1" x14ac:dyDescent="0.3">
      <c r="A237" s="11" t="s">
        <v>27</v>
      </c>
      <c r="B237" s="11" t="s">
        <v>23</v>
      </c>
      <c r="C237" s="12" t="s">
        <v>24</v>
      </c>
      <c r="D237" s="12" t="s">
        <v>34</v>
      </c>
      <c r="E237" s="11">
        <v>1100</v>
      </c>
      <c r="F237" s="12">
        <v>5</v>
      </c>
      <c r="G237" s="12">
        <v>300</v>
      </c>
      <c r="H237" s="7">
        <f t="shared" si="15"/>
        <v>330000</v>
      </c>
      <c r="I237" s="7">
        <f t="shared" si="12"/>
        <v>33000</v>
      </c>
      <c r="J237" s="7">
        <f t="shared" si="13"/>
        <v>297000</v>
      </c>
      <c r="K237" s="12">
        <v>275000</v>
      </c>
      <c r="L237" s="12">
        <f t="shared" si="14"/>
        <v>22000</v>
      </c>
      <c r="M237" s="13">
        <v>41609</v>
      </c>
      <c r="N237" s="14"/>
      <c r="O237" s="12"/>
      <c r="P237" s="15"/>
    </row>
    <row r="238" spans="1:16" ht="15.75" customHeight="1" x14ac:dyDescent="0.3">
      <c r="A238" s="6" t="s">
        <v>16</v>
      </c>
      <c r="B238" s="6" t="s">
        <v>22</v>
      </c>
      <c r="C238" s="7" t="s">
        <v>29</v>
      </c>
      <c r="D238" s="7" t="s">
        <v>34</v>
      </c>
      <c r="E238" s="6">
        <v>1303</v>
      </c>
      <c r="F238" s="7">
        <v>10</v>
      </c>
      <c r="G238" s="7">
        <v>20</v>
      </c>
      <c r="H238" s="7">
        <f t="shared" si="15"/>
        <v>26060</v>
      </c>
      <c r="I238" s="7">
        <f t="shared" si="12"/>
        <v>2606</v>
      </c>
      <c r="J238" s="7">
        <f t="shared" si="13"/>
        <v>23454</v>
      </c>
      <c r="K238" s="7">
        <v>13030</v>
      </c>
      <c r="L238" s="12">
        <f t="shared" si="14"/>
        <v>10424</v>
      </c>
      <c r="M238" s="8">
        <v>41671</v>
      </c>
      <c r="N238" s="9"/>
      <c r="O238" s="7"/>
      <c r="P238" s="10"/>
    </row>
    <row r="239" spans="1:16" ht="15.75" customHeight="1" x14ac:dyDescent="0.3">
      <c r="A239" s="11" t="s">
        <v>26</v>
      </c>
      <c r="B239" s="11" t="s">
        <v>28</v>
      </c>
      <c r="C239" s="12" t="s">
        <v>29</v>
      </c>
      <c r="D239" s="12" t="s">
        <v>34</v>
      </c>
      <c r="E239" s="11">
        <v>2992</v>
      </c>
      <c r="F239" s="12">
        <v>10</v>
      </c>
      <c r="G239" s="12">
        <v>125</v>
      </c>
      <c r="H239" s="7">
        <f t="shared" si="15"/>
        <v>374000</v>
      </c>
      <c r="I239" s="7">
        <f t="shared" si="12"/>
        <v>37400</v>
      </c>
      <c r="J239" s="7">
        <f t="shared" si="13"/>
        <v>336600</v>
      </c>
      <c r="K239" s="12">
        <v>359040</v>
      </c>
      <c r="L239" s="12">
        <f t="shared" si="14"/>
        <v>-22440</v>
      </c>
      <c r="M239" s="13">
        <v>41699</v>
      </c>
      <c r="N239" s="14"/>
      <c r="O239" s="12"/>
      <c r="P239" s="15"/>
    </row>
    <row r="240" spans="1:16" ht="15.75" customHeight="1" x14ac:dyDescent="0.3">
      <c r="A240" s="6" t="s">
        <v>26</v>
      </c>
      <c r="B240" s="6" t="s">
        <v>22</v>
      </c>
      <c r="C240" s="7" t="s">
        <v>29</v>
      </c>
      <c r="D240" s="7" t="s">
        <v>34</v>
      </c>
      <c r="E240" s="6">
        <v>2385</v>
      </c>
      <c r="F240" s="7">
        <v>10</v>
      </c>
      <c r="G240" s="7">
        <v>125</v>
      </c>
      <c r="H240" s="7">
        <f t="shared" si="15"/>
        <v>298125</v>
      </c>
      <c r="I240" s="7">
        <f t="shared" si="12"/>
        <v>29812.5</v>
      </c>
      <c r="J240" s="7">
        <f t="shared" si="13"/>
        <v>268312.5</v>
      </c>
      <c r="K240" s="7">
        <v>286200</v>
      </c>
      <c r="L240" s="12">
        <f t="shared" si="14"/>
        <v>-17887.5</v>
      </c>
      <c r="M240" s="8">
        <v>41699</v>
      </c>
      <c r="N240" s="9"/>
      <c r="O240" s="7"/>
      <c r="P240" s="10"/>
    </row>
    <row r="241" spans="1:16" ht="15.75" customHeight="1" x14ac:dyDescent="0.3">
      <c r="A241" s="11" t="s">
        <v>27</v>
      </c>
      <c r="B241" s="11" t="s">
        <v>23</v>
      </c>
      <c r="C241" s="12" t="s">
        <v>29</v>
      </c>
      <c r="D241" s="12" t="s">
        <v>34</v>
      </c>
      <c r="E241" s="11">
        <v>1607</v>
      </c>
      <c r="F241" s="12">
        <v>10</v>
      </c>
      <c r="G241" s="12">
        <v>300</v>
      </c>
      <c r="H241" s="7">
        <f t="shared" si="15"/>
        <v>482100</v>
      </c>
      <c r="I241" s="7">
        <f t="shared" si="12"/>
        <v>48210</v>
      </c>
      <c r="J241" s="7">
        <f t="shared" si="13"/>
        <v>433890</v>
      </c>
      <c r="K241" s="12">
        <v>401750</v>
      </c>
      <c r="L241" s="12">
        <f t="shared" si="14"/>
        <v>32140</v>
      </c>
      <c r="M241" s="13">
        <v>41730</v>
      </c>
      <c r="N241" s="14"/>
      <c r="O241" s="12"/>
      <c r="P241" s="15"/>
    </row>
    <row r="242" spans="1:16" ht="15.75" customHeight="1" x14ac:dyDescent="0.3">
      <c r="A242" s="6" t="s">
        <v>16</v>
      </c>
      <c r="B242" s="6" t="s">
        <v>28</v>
      </c>
      <c r="C242" s="7" t="s">
        <v>29</v>
      </c>
      <c r="D242" s="7" t="s">
        <v>34</v>
      </c>
      <c r="E242" s="6">
        <v>2327</v>
      </c>
      <c r="F242" s="7">
        <v>10</v>
      </c>
      <c r="G242" s="7">
        <v>7</v>
      </c>
      <c r="H242" s="7">
        <f t="shared" si="15"/>
        <v>16289</v>
      </c>
      <c r="I242" s="7">
        <f t="shared" si="12"/>
        <v>1628.9</v>
      </c>
      <c r="J242" s="7">
        <f t="shared" si="13"/>
        <v>14660.1</v>
      </c>
      <c r="K242" s="7">
        <v>11635</v>
      </c>
      <c r="L242" s="12">
        <f t="shared" si="14"/>
        <v>3025.1000000000004</v>
      </c>
      <c r="M242" s="8">
        <v>41760</v>
      </c>
      <c r="N242" s="9"/>
      <c r="O242" s="7"/>
      <c r="P242" s="10"/>
    </row>
    <row r="243" spans="1:16" ht="15.75" customHeight="1" x14ac:dyDescent="0.3">
      <c r="A243" s="11" t="s">
        <v>27</v>
      </c>
      <c r="B243" s="11" t="s">
        <v>28</v>
      </c>
      <c r="C243" s="12" t="s">
        <v>29</v>
      </c>
      <c r="D243" s="12" t="s">
        <v>34</v>
      </c>
      <c r="E243" s="11">
        <v>991</v>
      </c>
      <c r="F243" s="12">
        <v>10</v>
      </c>
      <c r="G243" s="12">
        <v>300</v>
      </c>
      <c r="H243" s="7">
        <f t="shared" si="15"/>
        <v>297300</v>
      </c>
      <c r="I243" s="7">
        <f t="shared" si="12"/>
        <v>29730</v>
      </c>
      <c r="J243" s="7">
        <f t="shared" si="13"/>
        <v>267570</v>
      </c>
      <c r="K243" s="12">
        <v>247750</v>
      </c>
      <c r="L243" s="12">
        <f t="shared" si="14"/>
        <v>19820</v>
      </c>
      <c r="M243" s="13">
        <v>41791</v>
      </c>
      <c r="N243" s="14"/>
      <c r="O243" s="12"/>
      <c r="P243" s="15"/>
    </row>
    <row r="244" spans="1:16" ht="15.75" customHeight="1" x14ac:dyDescent="0.3">
      <c r="A244" s="6" t="s">
        <v>16</v>
      </c>
      <c r="B244" s="6" t="s">
        <v>28</v>
      </c>
      <c r="C244" s="7" t="s">
        <v>29</v>
      </c>
      <c r="D244" s="7" t="s">
        <v>34</v>
      </c>
      <c r="E244" s="6">
        <v>602</v>
      </c>
      <c r="F244" s="7">
        <v>10</v>
      </c>
      <c r="G244" s="7">
        <v>350</v>
      </c>
      <c r="H244" s="7">
        <f t="shared" si="15"/>
        <v>210700</v>
      </c>
      <c r="I244" s="7">
        <f t="shared" si="12"/>
        <v>21070</v>
      </c>
      <c r="J244" s="7">
        <f t="shared" si="13"/>
        <v>189630</v>
      </c>
      <c r="K244" s="7">
        <v>156520</v>
      </c>
      <c r="L244" s="12">
        <f t="shared" si="14"/>
        <v>33110</v>
      </c>
      <c r="M244" s="8">
        <v>41791</v>
      </c>
      <c r="N244" s="9"/>
      <c r="O244" s="7"/>
      <c r="P244" s="10"/>
    </row>
    <row r="245" spans="1:16" ht="15.75" customHeight="1" x14ac:dyDescent="0.3">
      <c r="A245" s="11" t="s">
        <v>21</v>
      </c>
      <c r="B245" s="11" t="s">
        <v>22</v>
      </c>
      <c r="C245" s="12" t="s">
        <v>29</v>
      </c>
      <c r="D245" s="12" t="s">
        <v>34</v>
      </c>
      <c r="E245" s="11">
        <v>2620</v>
      </c>
      <c r="F245" s="12">
        <v>10</v>
      </c>
      <c r="G245" s="12">
        <v>15</v>
      </c>
      <c r="H245" s="7">
        <f t="shared" si="15"/>
        <v>39300</v>
      </c>
      <c r="I245" s="7">
        <f t="shared" si="12"/>
        <v>3930</v>
      </c>
      <c r="J245" s="7">
        <f t="shared" si="13"/>
        <v>35370</v>
      </c>
      <c r="K245" s="12">
        <v>26200</v>
      </c>
      <c r="L245" s="12">
        <f t="shared" si="14"/>
        <v>9170</v>
      </c>
      <c r="M245" s="13">
        <v>41883</v>
      </c>
      <c r="N245" s="14"/>
      <c r="O245" s="12"/>
      <c r="P245" s="15"/>
    </row>
    <row r="246" spans="1:16" ht="15.75" customHeight="1" x14ac:dyDescent="0.3">
      <c r="A246" s="6" t="s">
        <v>16</v>
      </c>
      <c r="B246" s="6" t="s">
        <v>17</v>
      </c>
      <c r="C246" s="7" t="s">
        <v>29</v>
      </c>
      <c r="D246" s="7" t="s">
        <v>34</v>
      </c>
      <c r="E246" s="6">
        <v>1228</v>
      </c>
      <c r="F246" s="7">
        <v>10</v>
      </c>
      <c r="G246" s="7">
        <v>350</v>
      </c>
      <c r="H246" s="7">
        <f t="shared" si="15"/>
        <v>429800</v>
      </c>
      <c r="I246" s="7">
        <f t="shared" si="12"/>
        <v>42980</v>
      </c>
      <c r="J246" s="7">
        <f t="shared" si="13"/>
        <v>386820</v>
      </c>
      <c r="K246" s="7">
        <v>319280</v>
      </c>
      <c r="L246" s="12">
        <f t="shared" si="14"/>
        <v>67540</v>
      </c>
      <c r="M246" s="8">
        <v>41548</v>
      </c>
      <c r="N246" s="9"/>
      <c r="O246" s="7"/>
      <c r="P246" s="10"/>
    </row>
    <row r="247" spans="1:16" ht="15.75" customHeight="1" x14ac:dyDescent="0.3">
      <c r="A247" s="11" t="s">
        <v>16</v>
      </c>
      <c r="B247" s="11" t="s">
        <v>17</v>
      </c>
      <c r="C247" s="12" t="s">
        <v>29</v>
      </c>
      <c r="D247" s="12" t="s">
        <v>34</v>
      </c>
      <c r="E247" s="11">
        <v>1389</v>
      </c>
      <c r="F247" s="12">
        <v>10</v>
      </c>
      <c r="G247" s="12">
        <v>20</v>
      </c>
      <c r="H247" s="7">
        <f t="shared" si="15"/>
        <v>27780</v>
      </c>
      <c r="I247" s="7">
        <f t="shared" si="12"/>
        <v>2778</v>
      </c>
      <c r="J247" s="7">
        <f t="shared" si="13"/>
        <v>25002</v>
      </c>
      <c r="K247" s="12">
        <v>13890</v>
      </c>
      <c r="L247" s="12">
        <f t="shared" si="14"/>
        <v>11112</v>
      </c>
      <c r="M247" s="13">
        <v>41548</v>
      </c>
      <c r="N247" s="14"/>
      <c r="O247" s="12"/>
      <c r="P247" s="15"/>
    </row>
    <row r="248" spans="1:16" ht="15.75" customHeight="1" x14ac:dyDescent="0.3">
      <c r="A248" s="6" t="s">
        <v>26</v>
      </c>
      <c r="B248" s="6" t="s">
        <v>28</v>
      </c>
      <c r="C248" s="7" t="s">
        <v>29</v>
      </c>
      <c r="D248" s="7" t="s">
        <v>34</v>
      </c>
      <c r="E248" s="6">
        <v>861</v>
      </c>
      <c r="F248" s="7">
        <v>10</v>
      </c>
      <c r="G248" s="7">
        <v>125</v>
      </c>
      <c r="H248" s="7">
        <f t="shared" si="15"/>
        <v>107625</v>
      </c>
      <c r="I248" s="7">
        <f t="shared" si="12"/>
        <v>10762.5</v>
      </c>
      <c r="J248" s="7">
        <f t="shared" si="13"/>
        <v>96862.5</v>
      </c>
      <c r="K248" s="7">
        <v>103320</v>
      </c>
      <c r="L248" s="12">
        <f t="shared" si="14"/>
        <v>-6457.5</v>
      </c>
      <c r="M248" s="8">
        <v>41913</v>
      </c>
      <c r="N248" s="9"/>
      <c r="O248" s="7"/>
      <c r="P248" s="10"/>
    </row>
    <row r="249" spans="1:16" ht="15.75" customHeight="1" x14ac:dyDescent="0.3">
      <c r="A249" s="11" t="s">
        <v>26</v>
      </c>
      <c r="B249" s="11" t="s">
        <v>22</v>
      </c>
      <c r="C249" s="12" t="s">
        <v>29</v>
      </c>
      <c r="D249" s="12" t="s">
        <v>34</v>
      </c>
      <c r="E249" s="11">
        <v>704</v>
      </c>
      <c r="F249" s="12">
        <v>10</v>
      </c>
      <c r="G249" s="12">
        <v>125</v>
      </c>
      <c r="H249" s="7">
        <f t="shared" si="15"/>
        <v>88000</v>
      </c>
      <c r="I249" s="7">
        <f t="shared" si="12"/>
        <v>8800</v>
      </c>
      <c r="J249" s="7">
        <f t="shared" si="13"/>
        <v>79200</v>
      </c>
      <c r="K249" s="12">
        <v>84480</v>
      </c>
      <c r="L249" s="12">
        <f t="shared" si="14"/>
        <v>-5280</v>
      </c>
      <c r="M249" s="13">
        <v>41548</v>
      </c>
      <c r="N249" s="14"/>
      <c r="O249" s="12"/>
      <c r="P249" s="15"/>
    </row>
    <row r="250" spans="1:16" ht="15.75" customHeight="1" x14ac:dyDescent="0.3">
      <c r="A250" s="6" t="s">
        <v>16</v>
      </c>
      <c r="B250" s="6" t="s">
        <v>17</v>
      </c>
      <c r="C250" s="7" t="s">
        <v>29</v>
      </c>
      <c r="D250" s="7" t="s">
        <v>34</v>
      </c>
      <c r="E250" s="6">
        <v>1802</v>
      </c>
      <c r="F250" s="7">
        <v>10</v>
      </c>
      <c r="G250" s="7">
        <v>20</v>
      </c>
      <c r="H250" s="7">
        <f t="shared" si="15"/>
        <v>36040</v>
      </c>
      <c r="I250" s="7">
        <f t="shared" si="12"/>
        <v>3604</v>
      </c>
      <c r="J250" s="7">
        <f t="shared" si="13"/>
        <v>32436</v>
      </c>
      <c r="K250" s="7">
        <v>18020</v>
      </c>
      <c r="L250" s="12">
        <f t="shared" si="14"/>
        <v>14416</v>
      </c>
      <c r="M250" s="8">
        <v>41609</v>
      </c>
      <c r="N250" s="9"/>
      <c r="O250" s="7"/>
      <c r="P250" s="10"/>
    </row>
    <row r="251" spans="1:16" ht="15.75" customHeight="1" x14ac:dyDescent="0.3">
      <c r="A251" s="11" t="s">
        <v>16</v>
      </c>
      <c r="B251" s="11" t="s">
        <v>28</v>
      </c>
      <c r="C251" s="12" t="s">
        <v>29</v>
      </c>
      <c r="D251" s="12" t="s">
        <v>34</v>
      </c>
      <c r="E251" s="11">
        <v>2663</v>
      </c>
      <c r="F251" s="12">
        <v>10</v>
      </c>
      <c r="G251" s="12">
        <v>20</v>
      </c>
      <c r="H251" s="7">
        <f t="shared" si="15"/>
        <v>53260</v>
      </c>
      <c r="I251" s="7">
        <f t="shared" si="12"/>
        <v>5326</v>
      </c>
      <c r="J251" s="7">
        <f t="shared" si="13"/>
        <v>47934</v>
      </c>
      <c r="K251" s="12">
        <v>26630</v>
      </c>
      <c r="L251" s="12">
        <f t="shared" si="14"/>
        <v>21304</v>
      </c>
      <c r="M251" s="13">
        <v>41974</v>
      </c>
      <c r="N251" s="14"/>
      <c r="O251" s="12"/>
      <c r="P251" s="15"/>
    </row>
    <row r="252" spans="1:16" ht="15.75" customHeight="1" x14ac:dyDescent="0.3">
      <c r="A252" s="6" t="s">
        <v>16</v>
      </c>
      <c r="B252" s="6" t="s">
        <v>22</v>
      </c>
      <c r="C252" s="7" t="s">
        <v>29</v>
      </c>
      <c r="D252" s="7" t="s">
        <v>34</v>
      </c>
      <c r="E252" s="6">
        <v>2136</v>
      </c>
      <c r="F252" s="7">
        <v>10</v>
      </c>
      <c r="G252" s="7">
        <v>7</v>
      </c>
      <c r="H252" s="7">
        <f t="shared" si="15"/>
        <v>14952</v>
      </c>
      <c r="I252" s="7">
        <f t="shared" si="12"/>
        <v>1495.2</v>
      </c>
      <c r="J252" s="7">
        <f t="shared" si="13"/>
        <v>13456.8</v>
      </c>
      <c r="K252" s="7">
        <v>10680</v>
      </c>
      <c r="L252" s="12">
        <f t="shared" si="14"/>
        <v>2776.7999999999993</v>
      </c>
      <c r="M252" s="8">
        <v>41609</v>
      </c>
      <c r="N252" s="9"/>
      <c r="O252" s="7"/>
      <c r="P252" s="10"/>
    </row>
    <row r="253" spans="1:16" ht="15.75" customHeight="1" x14ac:dyDescent="0.3">
      <c r="A253" s="11" t="s">
        <v>21</v>
      </c>
      <c r="B253" s="11" t="s">
        <v>20</v>
      </c>
      <c r="C253" s="12" t="s">
        <v>29</v>
      </c>
      <c r="D253" s="12" t="s">
        <v>34</v>
      </c>
      <c r="E253" s="11">
        <v>2116</v>
      </c>
      <c r="F253" s="12">
        <v>10</v>
      </c>
      <c r="G253" s="12">
        <v>15</v>
      </c>
      <c r="H253" s="7">
        <f t="shared" si="15"/>
        <v>31740</v>
      </c>
      <c r="I253" s="7">
        <f t="shared" si="12"/>
        <v>3174</v>
      </c>
      <c r="J253" s="7">
        <f t="shared" si="13"/>
        <v>28566</v>
      </c>
      <c r="K253" s="12">
        <v>21160</v>
      </c>
      <c r="L253" s="12">
        <f t="shared" si="14"/>
        <v>7406</v>
      </c>
      <c r="M253" s="13">
        <v>41609</v>
      </c>
      <c r="N253" s="14"/>
      <c r="O253" s="12"/>
      <c r="P253" s="15"/>
    </row>
    <row r="254" spans="1:16" ht="15.75" customHeight="1" x14ac:dyDescent="0.3">
      <c r="A254" s="6" t="s">
        <v>21</v>
      </c>
      <c r="B254" s="6" t="s">
        <v>28</v>
      </c>
      <c r="C254" s="7" t="s">
        <v>30</v>
      </c>
      <c r="D254" s="7" t="s">
        <v>34</v>
      </c>
      <c r="E254" s="6">
        <v>555</v>
      </c>
      <c r="F254" s="7">
        <v>120</v>
      </c>
      <c r="G254" s="7">
        <v>15</v>
      </c>
      <c r="H254" s="7">
        <f t="shared" si="15"/>
        <v>8325</v>
      </c>
      <c r="I254" s="7">
        <f t="shared" si="12"/>
        <v>832.5</v>
      </c>
      <c r="J254" s="7">
        <f t="shared" si="13"/>
        <v>7492.5</v>
      </c>
      <c r="K254" s="7">
        <v>5550</v>
      </c>
      <c r="L254" s="12">
        <f t="shared" si="14"/>
        <v>1942.5</v>
      </c>
      <c r="M254" s="8">
        <v>41640</v>
      </c>
      <c r="N254" s="9"/>
      <c r="O254" s="7"/>
      <c r="P254" s="10"/>
    </row>
    <row r="255" spans="1:16" ht="15.75" customHeight="1" x14ac:dyDescent="0.3">
      <c r="A255" s="11" t="s">
        <v>21</v>
      </c>
      <c r="B255" s="11" t="s">
        <v>23</v>
      </c>
      <c r="C255" s="12" t="s">
        <v>30</v>
      </c>
      <c r="D255" s="12" t="s">
        <v>34</v>
      </c>
      <c r="E255" s="11">
        <v>2861</v>
      </c>
      <c r="F255" s="12">
        <v>120</v>
      </c>
      <c r="G255" s="12">
        <v>15</v>
      </c>
      <c r="H255" s="7">
        <f t="shared" si="15"/>
        <v>42915</v>
      </c>
      <c r="I255" s="7">
        <f t="shared" si="12"/>
        <v>4291.5</v>
      </c>
      <c r="J255" s="7">
        <f t="shared" si="13"/>
        <v>38623.5</v>
      </c>
      <c r="K255" s="12">
        <v>28610</v>
      </c>
      <c r="L255" s="12">
        <f t="shared" si="14"/>
        <v>10013.5</v>
      </c>
      <c r="M255" s="13">
        <v>41640</v>
      </c>
      <c r="N255" s="14"/>
      <c r="O255" s="12"/>
      <c r="P255" s="15"/>
    </row>
    <row r="256" spans="1:16" ht="15.75" customHeight="1" x14ac:dyDescent="0.3">
      <c r="A256" s="6" t="s">
        <v>26</v>
      </c>
      <c r="B256" s="6" t="s">
        <v>20</v>
      </c>
      <c r="C256" s="7" t="s">
        <v>30</v>
      </c>
      <c r="D256" s="7" t="s">
        <v>34</v>
      </c>
      <c r="E256" s="6">
        <v>807</v>
      </c>
      <c r="F256" s="7">
        <v>120</v>
      </c>
      <c r="G256" s="7">
        <v>125</v>
      </c>
      <c r="H256" s="7">
        <f t="shared" si="15"/>
        <v>100875</v>
      </c>
      <c r="I256" s="7">
        <f t="shared" si="12"/>
        <v>10087.5</v>
      </c>
      <c r="J256" s="7">
        <f t="shared" si="13"/>
        <v>90787.5</v>
      </c>
      <c r="K256" s="7">
        <v>96840</v>
      </c>
      <c r="L256" s="12">
        <f t="shared" si="14"/>
        <v>-6052.5</v>
      </c>
      <c r="M256" s="8">
        <v>41671</v>
      </c>
      <c r="N256" s="9"/>
      <c r="O256" s="7"/>
      <c r="P256" s="10"/>
    </row>
    <row r="257" spans="1:16" ht="15.75" customHeight="1" x14ac:dyDescent="0.3">
      <c r="A257" s="11" t="s">
        <v>16</v>
      </c>
      <c r="B257" s="11" t="s">
        <v>28</v>
      </c>
      <c r="C257" s="12" t="s">
        <v>30</v>
      </c>
      <c r="D257" s="12" t="s">
        <v>34</v>
      </c>
      <c r="E257" s="11">
        <v>602</v>
      </c>
      <c r="F257" s="12">
        <v>120</v>
      </c>
      <c r="G257" s="12">
        <v>350</v>
      </c>
      <c r="H257" s="7">
        <f t="shared" si="15"/>
        <v>210700</v>
      </c>
      <c r="I257" s="7">
        <f t="shared" si="12"/>
        <v>21070</v>
      </c>
      <c r="J257" s="7">
        <f t="shared" si="13"/>
        <v>189630</v>
      </c>
      <c r="K257" s="12">
        <v>156520</v>
      </c>
      <c r="L257" s="12">
        <f t="shared" si="14"/>
        <v>33110</v>
      </c>
      <c r="M257" s="13">
        <v>41791</v>
      </c>
      <c r="N257" s="14"/>
      <c r="O257" s="12"/>
      <c r="P257" s="15"/>
    </row>
    <row r="258" spans="1:16" ht="15.75" customHeight="1" x14ac:dyDescent="0.3">
      <c r="A258" s="6" t="s">
        <v>16</v>
      </c>
      <c r="B258" s="6" t="s">
        <v>28</v>
      </c>
      <c r="C258" s="7" t="s">
        <v>30</v>
      </c>
      <c r="D258" s="7" t="s">
        <v>34</v>
      </c>
      <c r="E258" s="6">
        <v>2832</v>
      </c>
      <c r="F258" s="7">
        <v>120</v>
      </c>
      <c r="G258" s="7">
        <v>20</v>
      </c>
      <c r="H258" s="7">
        <f t="shared" si="15"/>
        <v>56640</v>
      </c>
      <c r="I258" s="7">
        <f t="shared" si="12"/>
        <v>5664</v>
      </c>
      <c r="J258" s="7">
        <f t="shared" si="13"/>
        <v>50976</v>
      </c>
      <c r="K258" s="7">
        <v>28320</v>
      </c>
      <c r="L258" s="12">
        <f t="shared" si="14"/>
        <v>22656</v>
      </c>
      <c r="M258" s="8">
        <v>41852</v>
      </c>
      <c r="N258" s="9"/>
      <c r="O258" s="7"/>
      <c r="P258" s="10"/>
    </row>
    <row r="259" spans="1:16" ht="15.75" customHeight="1" x14ac:dyDescent="0.3">
      <c r="A259" s="11" t="s">
        <v>16</v>
      </c>
      <c r="B259" s="11" t="s">
        <v>22</v>
      </c>
      <c r="C259" s="12" t="s">
        <v>30</v>
      </c>
      <c r="D259" s="12" t="s">
        <v>34</v>
      </c>
      <c r="E259" s="11">
        <v>1579</v>
      </c>
      <c r="F259" s="12">
        <v>120</v>
      </c>
      <c r="G259" s="12">
        <v>20</v>
      </c>
      <c r="H259" s="7">
        <f t="shared" si="15"/>
        <v>31580</v>
      </c>
      <c r="I259" s="7">
        <f t="shared" ref="I259:I322" si="16">IF(D259="None", 0, IF(D259="Low", H259*0.05, IF(D259="Medium", H259*0.1, IF(D259="High", H259*0.15, 0))))</f>
        <v>3158</v>
      </c>
      <c r="J259" s="7">
        <f t="shared" ref="J259:J322" si="17">H259-I259</f>
        <v>28422</v>
      </c>
      <c r="K259" s="12">
        <v>15790</v>
      </c>
      <c r="L259" s="12">
        <f t="shared" si="14"/>
        <v>12632</v>
      </c>
      <c r="M259" s="13">
        <v>41852</v>
      </c>
      <c r="N259" s="14"/>
      <c r="O259" s="12"/>
      <c r="P259" s="15"/>
    </row>
    <row r="260" spans="1:16" ht="15.75" customHeight="1" x14ac:dyDescent="0.3">
      <c r="A260" s="6" t="s">
        <v>26</v>
      </c>
      <c r="B260" s="6" t="s">
        <v>28</v>
      </c>
      <c r="C260" s="7" t="s">
        <v>30</v>
      </c>
      <c r="D260" s="7" t="s">
        <v>34</v>
      </c>
      <c r="E260" s="6">
        <v>861</v>
      </c>
      <c r="F260" s="7">
        <v>120</v>
      </c>
      <c r="G260" s="7">
        <v>125</v>
      </c>
      <c r="H260" s="7">
        <f t="shared" si="15"/>
        <v>107625</v>
      </c>
      <c r="I260" s="7">
        <f t="shared" si="16"/>
        <v>10762.5</v>
      </c>
      <c r="J260" s="7">
        <f t="shared" si="17"/>
        <v>96862.5</v>
      </c>
      <c r="K260" s="7">
        <v>103320</v>
      </c>
      <c r="L260" s="12">
        <f t="shared" ref="L260:L323" si="18">J260-K260</f>
        <v>-6457.5</v>
      </c>
      <c r="M260" s="8">
        <v>41913</v>
      </c>
      <c r="N260" s="9"/>
      <c r="O260" s="7"/>
      <c r="P260" s="10"/>
    </row>
    <row r="261" spans="1:16" ht="15.75" customHeight="1" x14ac:dyDescent="0.3">
      <c r="A261" s="11" t="s">
        <v>26</v>
      </c>
      <c r="B261" s="11" t="s">
        <v>22</v>
      </c>
      <c r="C261" s="12" t="s">
        <v>30</v>
      </c>
      <c r="D261" s="12" t="s">
        <v>34</v>
      </c>
      <c r="E261" s="11">
        <v>704</v>
      </c>
      <c r="F261" s="12">
        <v>120</v>
      </c>
      <c r="G261" s="12">
        <v>125</v>
      </c>
      <c r="H261" s="7">
        <f t="shared" ref="H261:H324" si="19">E261*G261</f>
        <v>88000</v>
      </c>
      <c r="I261" s="7">
        <f t="shared" si="16"/>
        <v>8800</v>
      </c>
      <c r="J261" s="7">
        <f t="shared" si="17"/>
        <v>79200</v>
      </c>
      <c r="K261" s="12">
        <v>84480</v>
      </c>
      <c r="L261" s="12">
        <f t="shared" si="18"/>
        <v>-5280</v>
      </c>
      <c r="M261" s="13">
        <v>41548</v>
      </c>
      <c r="N261" s="14"/>
      <c r="O261" s="12"/>
      <c r="P261" s="15"/>
    </row>
    <row r="262" spans="1:16" ht="15.75" customHeight="1" x14ac:dyDescent="0.3">
      <c r="A262" s="6" t="s">
        <v>16</v>
      </c>
      <c r="B262" s="6" t="s">
        <v>22</v>
      </c>
      <c r="C262" s="7" t="s">
        <v>30</v>
      </c>
      <c r="D262" s="7" t="s">
        <v>34</v>
      </c>
      <c r="E262" s="6">
        <v>1033</v>
      </c>
      <c r="F262" s="7">
        <v>120</v>
      </c>
      <c r="G262" s="7">
        <v>20</v>
      </c>
      <c r="H262" s="7">
        <f t="shared" si="19"/>
        <v>20660</v>
      </c>
      <c r="I262" s="7">
        <f t="shared" si="16"/>
        <v>2066</v>
      </c>
      <c r="J262" s="7">
        <f t="shared" si="17"/>
        <v>18594</v>
      </c>
      <c r="K262" s="7">
        <v>10330</v>
      </c>
      <c r="L262" s="12">
        <f t="shared" si="18"/>
        <v>8264</v>
      </c>
      <c r="M262" s="8">
        <v>41609</v>
      </c>
      <c r="N262" s="9"/>
      <c r="O262" s="7"/>
      <c r="P262" s="10"/>
    </row>
    <row r="263" spans="1:16" ht="15.75" customHeight="1" x14ac:dyDescent="0.3">
      <c r="A263" s="11" t="s">
        <v>27</v>
      </c>
      <c r="B263" s="11" t="s">
        <v>20</v>
      </c>
      <c r="C263" s="12" t="s">
        <v>30</v>
      </c>
      <c r="D263" s="12" t="s">
        <v>34</v>
      </c>
      <c r="E263" s="11">
        <v>1250</v>
      </c>
      <c r="F263" s="12">
        <v>120</v>
      </c>
      <c r="G263" s="12">
        <v>300</v>
      </c>
      <c r="H263" s="7">
        <f t="shared" si="19"/>
        <v>375000</v>
      </c>
      <c r="I263" s="7">
        <f t="shared" si="16"/>
        <v>37500</v>
      </c>
      <c r="J263" s="7">
        <f t="shared" si="17"/>
        <v>337500</v>
      </c>
      <c r="K263" s="12">
        <v>312500</v>
      </c>
      <c r="L263" s="12">
        <f t="shared" si="18"/>
        <v>25000</v>
      </c>
      <c r="M263" s="13">
        <v>41974</v>
      </c>
      <c r="N263" s="14"/>
      <c r="O263" s="12"/>
      <c r="P263" s="15"/>
    </row>
    <row r="264" spans="1:16" ht="15.75" customHeight="1" x14ac:dyDescent="0.3">
      <c r="A264" s="6" t="s">
        <v>16</v>
      </c>
      <c r="B264" s="6" t="s">
        <v>17</v>
      </c>
      <c r="C264" s="7" t="s">
        <v>31</v>
      </c>
      <c r="D264" s="7" t="s">
        <v>34</v>
      </c>
      <c r="E264" s="6">
        <v>1389</v>
      </c>
      <c r="F264" s="7">
        <v>250</v>
      </c>
      <c r="G264" s="7">
        <v>20</v>
      </c>
      <c r="H264" s="7">
        <f t="shared" si="19"/>
        <v>27780</v>
      </c>
      <c r="I264" s="7">
        <f t="shared" si="16"/>
        <v>2778</v>
      </c>
      <c r="J264" s="7">
        <f t="shared" si="17"/>
        <v>25002</v>
      </c>
      <c r="K264" s="7">
        <v>13890</v>
      </c>
      <c r="L264" s="12">
        <f t="shared" si="18"/>
        <v>11112</v>
      </c>
      <c r="M264" s="8">
        <v>41548</v>
      </c>
      <c r="N264" s="9"/>
      <c r="O264" s="7"/>
      <c r="P264" s="10"/>
    </row>
    <row r="265" spans="1:16" ht="15.75" customHeight="1" x14ac:dyDescent="0.3">
      <c r="A265" s="11" t="s">
        <v>16</v>
      </c>
      <c r="B265" s="11" t="s">
        <v>28</v>
      </c>
      <c r="C265" s="12" t="s">
        <v>31</v>
      </c>
      <c r="D265" s="12" t="s">
        <v>34</v>
      </c>
      <c r="E265" s="11">
        <v>1265</v>
      </c>
      <c r="F265" s="12">
        <v>250</v>
      </c>
      <c r="G265" s="12">
        <v>20</v>
      </c>
      <c r="H265" s="7">
        <f t="shared" si="19"/>
        <v>25300</v>
      </c>
      <c r="I265" s="7">
        <f t="shared" si="16"/>
        <v>2530</v>
      </c>
      <c r="J265" s="7">
        <f t="shared" si="17"/>
        <v>22770</v>
      </c>
      <c r="K265" s="12">
        <v>12650</v>
      </c>
      <c r="L265" s="12">
        <f t="shared" si="18"/>
        <v>10120</v>
      </c>
      <c r="M265" s="13">
        <v>41579</v>
      </c>
      <c r="N265" s="14"/>
      <c r="O265" s="12"/>
      <c r="P265" s="15"/>
    </row>
    <row r="266" spans="1:16" ht="15.75" customHeight="1" x14ac:dyDescent="0.3">
      <c r="A266" s="6" t="s">
        <v>16</v>
      </c>
      <c r="B266" s="6" t="s">
        <v>20</v>
      </c>
      <c r="C266" s="7" t="s">
        <v>31</v>
      </c>
      <c r="D266" s="7" t="s">
        <v>34</v>
      </c>
      <c r="E266" s="6">
        <v>2297</v>
      </c>
      <c r="F266" s="7">
        <v>250</v>
      </c>
      <c r="G266" s="7">
        <v>20</v>
      </c>
      <c r="H266" s="7">
        <f t="shared" si="19"/>
        <v>45940</v>
      </c>
      <c r="I266" s="7">
        <f t="shared" si="16"/>
        <v>4594</v>
      </c>
      <c r="J266" s="7">
        <f t="shared" si="17"/>
        <v>41346</v>
      </c>
      <c r="K266" s="7">
        <v>22970</v>
      </c>
      <c r="L266" s="12">
        <f t="shared" si="18"/>
        <v>18376</v>
      </c>
      <c r="M266" s="8">
        <v>41579</v>
      </c>
      <c r="N266" s="9"/>
      <c r="O266" s="7"/>
      <c r="P266" s="10"/>
    </row>
    <row r="267" spans="1:16" ht="15.75" customHeight="1" x14ac:dyDescent="0.3">
      <c r="A267" s="11" t="s">
        <v>16</v>
      </c>
      <c r="B267" s="11" t="s">
        <v>28</v>
      </c>
      <c r="C267" s="12" t="s">
        <v>31</v>
      </c>
      <c r="D267" s="12" t="s">
        <v>34</v>
      </c>
      <c r="E267" s="11">
        <v>2663</v>
      </c>
      <c r="F267" s="12">
        <v>250</v>
      </c>
      <c r="G267" s="12">
        <v>20</v>
      </c>
      <c r="H267" s="7">
        <f t="shared" si="19"/>
        <v>53260</v>
      </c>
      <c r="I267" s="7">
        <f t="shared" si="16"/>
        <v>5326</v>
      </c>
      <c r="J267" s="7">
        <f t="shared" si="17"/>
        <v>47934</v>
      </c>
      <c r="K267" s="12">
        <v>26630</v>
      </c>
      <c r="L267" s="12">
        <f t="shared" si="18"/>
        <v>21304</v>
      </c>
      <c r="M267" s="13">
        <v>41974</v>
      </c>
      <c r="N267" s="14"/>
      <c r="O267" s="12"/>
      <c r="P267" s="15"/>
    </row>
    <row r="268" spans="1:16" ht="15.75" customHeight="1" x14ac:dyDescent="0.3">
      <c r="A268" s="6" t="s">
        <v>16</v>
      </c>
      <c r="B268" s="6" t="s">
        <v>28</v>
      </c>
      <c r="C268" s="7" t="s">
        <v>31</v>
      </c>
      <c r="D268" s="7" t="s">
        <v>34</v>
      </c>
      <c r="E268" s="6">
        <v>570</v>
      </c>
      <c r="F268" s="7">
        <v>250</v>
      </c>
      <c r="G268" s="7">
        <v>7</v>
      </c>
      <c r="H268" s="7">
        <f t="shared" si="19"/>
        <v>3990</v>
      </c>
      <c r="I268" s="7">
        <f t="shared" si="16"/>
        <v>399</v>
      </c>
      <c r="J268" s="7">
        <f t="shared" si="17"/>
        <v>3591</v>
      </c>
      <c r="K268" s="7">
        <v>2850</v>
      </c>
      <c r="L268" s="12">
        <f t="shared" si="18"/>
        <v>741</v>
      </c>
      <c r="M268" s="8">
        <v>41974</v>
      </c>
      <c r="N268" s="9"/>
      <c r="O268" s="7"/>
      <c r="P268" s="10"/>
    </row>
    <row r="269" spans="1:16" ht="15.75" customHeight="1" x14ac:dyDescent="0.3">
      <c r="A269" s="11" t="s">
        <v>16</v>
      </c>
      <c r="B269" s="11" t="s">
        <v>22</v>
      </c>
      <c r="C269" s="12" t="s">
        <v>31</v>
      </c>
      <c r="D269" s="12" t="s">
        <v>34</v>
      </c>
      <c r="E269" s="11">
        <v>2487</v>
      </c>
      <c r="F269" s="12">
        <v>250</v>
      </c>
      <c r="G269" s="12">
        <v>7</v>
      </c>
      <c r="H269" s="7">
        <f t="shared" si="19"/>
        <v>17409</v>
      </c>
      <c r="I269" s="7">
        <f t="shared" si="16"/>
        <v>1740.9</v>
      </c>
      <c r="J269" s="7">
        <f t="shared" si="17"/>
        <v>15668.1</v>
      </c>
      <c r="K269" s="12">
        <v>12435</v>
      </c>
      <c r="L269" s="12">
        <f t="shared" si="18"/>
        <v>3233.1000000000004</v>
      </c>
      <c r="M269" s="13">
        <v>41974</v>
      </c>
      <c r="N269" s="14"/>
      <c r="O269" s="12"/>
      <c r="P269" s="15"/>
    </row>
    <row r="270" spans="1:16" ht="15.75" customHeight="1" x14ac:dyDescent="0.3">
      <c r="A270" s="6" t="s">
        <v>16</v>
      </c>
      <c r="B270" s="6" t="s">
        <v>20</v>
      </c>
      <c r="C270" s="7" t="s">
        <v>32</v>
      </c>
      <c r="D270" s="7" t="s">
        <v>34</v>
      </c>
      <c r="E270" s="6">
        <v>1350</v>
      </c>
      <c r="F270" s="7">
        <v>260</v>
      </c>
      <c r="G270" s="7">
        <v>350</v>
      </c>
      <c r="H270" s="7">
        <f t="shared" si="19"/>
        <v>472500</v>
      </c>
      <c r="I270" s="7">
        <f t="shared" si="16"/>
        <v>47250</v>
      </c>
      <c r="J270" s="7">
        <f t="shared" si="17"/>
        <v>425250</v>
      </c>
      <c r="K270" s="7">
        <v>351000</v>
      </c>
      <c r="L270" s="12">
        <f t="shared" si="18"/>
        <v>74250</v>
      </c>
      <c r="M270" s="8">
        <v>41671</v>
      </c>
      <c r="N270" s="9"/>
      <c r="O270" s="7"/>
      <c r="P270" s="10"/>
    </row>
    <row r="271" spans="1:16" ht="15.75" customHeight="1" x14ac:dyDescent="0.3">
      <c r="A271" s="11" t="s">
        <v>16</v>
      </c>
      <c r="B271" s="11" t="s">
        <v>17</v>
      </c>
      <c r="C271" s="12" t="s">
        <v>32</v>
      </c>
      <c r="D271" s="12" t="s">
        <v>34</v>
      </c>
      <c r="E271" s="11">
        <v>552</v>
      </c>
      <c r="F271" s="12">
        <v>260</v>
      </c>
      <c r="G271" s="12">
        <v>350</v>
      </c>
      <c r="H271" s="7">
        <f t="shared" si="19"/>
        <v>193200</v>
      </c>
      <c r="I271" s="7">
        <f t="shared" si="16"/>
        <v>19320</v>
      </c>
      <c r="J271" s="7">
        <f t="shared" si="17"/>
        <v>173880</v>
      </c>
      <c r="K271" s="12">
        <v>143520</v>
      </c>
      <c r="L271" s="12">
        <f t="shared" si="18"/>
        <v>30360</v>
      </c>
      <c r="M271" s="13">
        <v>41852</v>
      </c>
      <c r="N271" s="14"/>
      <c r="O271" s="12"/>
      <c r="P271" s="15"/>
    </row>
    <row r="272" spans="1:16" ht="15.75" customHeight="1" x14ac:dyDescent="0.3">
      <c r="A272" s="6" t="s">
        <v>16</v>
      </c>
      <c r="B272" s="6" t="s">
        <v>17</v>
      </c>
      <c r="C272" s="7" t="s">
        <v>32</v>
      </c>
      <c r="D272" s="7" t="s">
        <v>34</v>
      </c>
      <c r="E272" s="6">
        <v>1228</v>
      </c>
      <c r="F272" s="7">
        <v>260</v>
      </c>
      <c r="G272" s="7">
        <v>350</v>
      </c>
      <c r="H272" s="7">
        <f t="shared" si="19"/>
        <v>429800</v>
      </c>
      <c r="I272" s="7">
        <f t="shared" si="16"/>
        <v>42980</v>
      </c>
      <c r="J272" s="7">
        <f t="shared" si="17"/>
        <v>386820</v>
      </c>
      <c r="K272" s="7">
        <v>319280</v>
      </c>
      <c r="L272" s="12">
        <f t="shared" si="18"/>
        <v>67540</v>
      </c>
      <c r="M272" s="8">
        <v>41548</v>
      </c>
      <c r="N272" s="9"/>
      <c r="O272" s="7"/>
      <c r="P272" s="10"/>
    </row>
    <row r="273" spans="1:16" ht="15.75" customHeight="1" x14ac:dyDescent="0.3">
      <c r="A273" s="11" t="s">
        <v>27</v>
      </c>
      <c r="B273" s="11" t="s">
        <v>20</v>
      </c>
      <c r="C273" s="12" t="s">
        <v>32</v>
      </c>
      <c r="D273" s="12" t="s">
        <v>34</v>
      </c>
      <c r="E273" s="11">
        <v>1250</v>
      </c>
      <c r="F273" s="12">
        <v>260</v>
      </c>
      <c r="G273" s="12">
        <v>300</v>
      </c>
      <c r="H273" s="7">
        <f t="shared" si="19"/>
        <v>375000</v>
      </c>
      <c r="I273" s="7">
        <f t="shared" si="16"/>
        <v>37500</v>
      </c>
      <c r="J273" s="7">
        <f t="shared" si="17"/>
        <v>337500</v>
      </c>
      <c r="K273" s="12">
        <v>312500</v>
      </c>
      <c r="L273" s="12">
        <f t="shared" si="18"/>
        <v>25000</v>
      </c>
      <c r="M273" s="13">
        <v>41974</v>
      </c>
      <c r="N273" s="14"/>
      <c r="O273" s="12"/>
      <c r="P273" s="15"/>
    </row>
    <row r="274" spans="1:16" ht="15.75" customHeight="1" x14ac:dyDescent="0.3">
      <c r="A274" s="6" t="s">
        <v>21</v>
      </c>
      <c r="B274" s="6" t="s">
        <v>22</v>
      </c>
      <c r="C274" s="7" t="s">
        <v>29</v>
      </c>
      <c r="D274" s="7" t="s">
        <v>34</v>
      </c>
      <c r="E274" s="6">
        <v>3801</v>
      </c>
      <c r="F274" s="7">
        <v>10</v>
      </c>
      <c r="G274" s="7">
        <v>15</v>
      </c>
      <c r="H274" s="7">
        <f t="shared" si="19"/>
        <v>57015</v>
      </c>
      <c r="I274" s="7">
        <f t="shared" si="16"/>
        <v>5701.5</v>
      </c>
      <c r="J274" s="7">
        <f t="shared" si="17"/>
        <v>51313.5</v>
      </c>
      <c r="K274" s="7">
        <v>38010</v>
      </c>
      <c r="L274" s="12">
        <f t="shared" si="18"/>
        <v>13303.5</v>
      </c>
      <c r="M274" s="8">
        <v>41730</v>
      </c>
      <c r="N274" s="9"/>
      <c r="O274" s="7"/>
      <c r="P274" s="10"/>
    </row>
    <row r="275" spans="1:16" ht="15.75" customHeight="1" x14ac:dyDescent="0.3">
      <c r="A275" s="11" t="s">
        <v>16</v>
      </c>
      <c r="B275" s="11" t="s">
        <v>28</v>
      </c>
      <c r="C275" s="12" t="s">
        <v>18</v>
      </c>
      <c r="D275" s="12" t="s">
        <v>34</v>
      </c>
      <c r="E275" s="11">
        <v>1117.5</v>
      </c>
      <c r="F275" s="12">
        <v>3</v>
      </c>
      <c r="G275" s="12">
        <v>20</v>
      </c>
      <c r="H275" s="7">
        <f t="shared" si="19"/>
        <v>22350</v>
      </c>
      <c r="I275" s="7">
        <f t="shared" si="16"/>
        <v>2235</v>
      </c>
      <c r="J275" s="7">
        <f t="shared" si="17"/>
        <v>20115</v>
      </c>
      <c r="K275" s="12">
        <v>11175</v>
      </c>
      <c r="L275" s="12">
        <f t="shared" si="18"/>
        <v>8940</v>
      </c>
      <c r="M275" s="13">
        <v>41640</v>
      </c>
      <c r="N275" s="14"/>
      <c r="O275" s="12"/>
      <c r="P275" s="15"/>
    </row>
    <row r="276" spans="1:16" ht="15.75" customHeight="1" x14ac:dyDescent="0.3">
      <c r="A276" s="6" t="s">
        <v>21</v>
      </c>
      <c r="B276" s="6" t="s">
        <v>17</v>
      </c>
      <c r="C276" s="7" t="s">
        <v>18</v>
      </c>
      <c r="D276" s="7" t="s">
        <v>34</v>
      </c>
      <c r="E276" s="6">
        <v>2844</v>
      </c>
      <c r="F276" s="7">
        <v>3</v>
      </c>
      <c r="G276" s="7">
        <v>15</v>
      </c>
      <c r="H276" s="7">
        <f t="shared" si="19"/>
        <v>42660</v>
      </c>
      <c r="I276" s="7">
        <f t="shared" si="16"/>
        <v>4266</v>
      </c>
      <c r="J276" s="7">
        <f t="shared" si="17"/>
        <v>38394</v>
      </c>
      <c r="K276" s="7">
        <v>28440</v>
      </c>
      <c r="L276" s="12">
        <f t="shared" si="18"/>
        <v>9954</v>
      </c>
      <c r="M276" s="8">
        <v>41791</v>
      </c>
      <c r="N276" s="9"/>
      <c r="O276" s="7"/>
      <c r="P276" s="10"/>
    </row>
    <row r="277" spans="1:16" ht="15.75" customHeight="1" x14ac:dyDescent="0.3">
      <c r="A277" s="11" t="s">
        <v>25</v>
      </c>
      <c r="B277" s="11" t="s">
        <v>23</v>
      </c>
      <c r="C277" s="12" t="s">
        <v>18</v>
      </c>
      <c r="D277" s="12" t="s">
        <v>34</v>
      </c>
      <c r="E277" s="11">
        <v>562</v>
      </c>
      <c r="F277" s="12">
        <v>3</v>
      </c>
      <c r="G277" s="12">
        <v>12</v>
      </c>
      <c r="H277" s="7">
        <f t="shared" si="19"/>
        <v>6744</v>
      </c>
      <c r="I277" s="7">
        <f t="shared" si="16"/>
        <v>674.40000000000009</v>
      </c>
      <c r="J277" s="7">
        <f t="shared" si="17"/>
        <v>6069.6</v>
      </c>
      <c r="K277" s="12">
        <v>1686</v>
      </c>
      <c r="L277" s="12">
        <f t="shared" si="18"/>
        <v>4383.6000000000004</v>
      </c>
      <c r="M277" s="13">
        <v>41883</v>
      </c>
      <c r="N277" s="14"/>
      <c r="O277" s="12"/>
      <c r="P277" s="15"/>
    </row>
    <row r="278" spans="1:16" ht="15.75" customHeight="1" x14ac:dyDescent="0.3">
      <c r="A278" s="6" t="s">
        <v>25</v>
      </c>
      <c r="B278" s="6" t="s">
        <v>17</v>
      </c>
      <c r="C278" s="7" t="s">
        <v>18</v>
      </c>
      <c r="D278" s="7" t="s">
        <v>34</v>
      </c>
      <c r="E278" s="6">
        <v>2299</v>
      </c>
      <c r="F278" s="7">
        <v>3</v>
      </c>
      <c r="G278" s="7">
        <v>12</v>
      </c>
      <c r="H278" s="7">
        <f t="shared" si="19"/>
        <v>27588</v>
      </c>
      <c r="I278" s="7">
        <f t="shared" si="16"/>
        <v>2758.8</v>
      </c>
      <c r="J278" s="7">
        <f t="shared" si="17"/>
        <v>24829.200000000001</v>
      </c>
      <c r="K278" s="7">
        <v>6897</v>
      </c>
      <c r="L278" s="12">
        <f t="shared" si="18"/>
        <v>17932.2</v>
      </c>
      <c r="M278" s="8">
        <v>41548</v>
      </c>
      <c r="N278" s="9"/>
      <c r="O278" s="7"/>
      <c r="P278" s="10"/>
    </row>
    <row r="279" spans="1:16" ht="15.75" customHeight="1" x14ac:dyDescent="0.3">
      <c r="A279" s="11" t="s">
        <v>21</v>
      </c>
      <c r="B279" s="11" t="s">
        <v>28</v>
      </c>
      <c r="C279" s="12" t="s">
        <v>18</v>
      </c>
      <c r="D279" s="12" t="s">
        <v>34</v>
      </c>
      <c r="E279" s="11">
        <v>2030</v>
      </c>
      <c r="F279" s="12">
        <v>3</v>
      </c>
      <c r="G279" s="12">
        <v>15</v>
      </c>
      <c r="H279" s="7">
        <f t="shared" si="19"/>
        <v>30450</v>
      </c>
      <c r="I279" s="7">
        <f t="shared" si="16"/>
        <v>3045</v>
      </c>
      <c r="J279" s="7">
        <f t="shared" si="17"/>
        <v>27405</v>
      </c>
      <c r="K279" s="12">
        <v>20300</v>
      </c>
      <c r="L279" s="12">
        <f t="shared" si="18"/>
        <v>7105</v>
      </c>
      <c r="M279" s="13">
        <v>41944</v>
      </c>
      <c r="N279" s="14"/>
      <c r="O279" s="12"/>
      <c r="P279" s="15"/>
    </row>
    <row r="280" spans="1:16" ht="15.75" customHeight="1" x14ac:dyDescent="0.3">
      <c r="A280" s="6" t="s">
        <v>16</v>
      </c>
      <c r="B280" s="6" t="s">
        <v>28</v>
      </c>
      <c r="C280" s="7" t="s">
        <v>18</v>
      </c>
      <c r="D280" s="7" t="s">
        <v>34</v>
      </c>
      <c r="E280" s="6">
        <v>263</v>
      </c>
      <c r="F280" s="7">
        <v>3</v>
      </c>
      <c r="G280" s="7">
        <v>7</v>
      </c>
      <c r="H280" s="7">
        <f t="shared" si="19"/>
        <v>1841</v>
      </c>
      <c r="I280" s="7">
        <f t="shared" si="16"/>
        <v>184.10000000000002</v>
      </c>
      <c r="J280" s="7">
        <f t="shared" si="17"/>
        <v>1656.9</v>
      </c>
      <c r="K280" s="7">
        <v>1315</v>
      </c>
      <c r="L280" s="12">
        <f t="shared" si="18"/>
        <v>341.90000000000009</v>
      </c>
      <c r="M280" s="8">
        <v>41579</v>
      </c>
      <c r="N280" s="9"/>
      <c r="O280" s="7"/>
      <c r="P280" s="10"/>
    </row>
    <row r="281" spans="1:16" ht="15.75" customHeight="1" x14ac:dyDescent="0.3">
      <c r="A281" s="11" t="s">
        <v>26</v>
      </c>
      <c r="B281" s="11" t="s">
        <v>20</v>
      </c>
      <c r="C281" s="12" t="s">
        <v>18</v>
      </c>
      <c r="D281" s="12" t="s">
        <v>34</v>
      </c>
      <c r="E281" s="11">
        <v>887</v>
      </c>
      <c r="F281" s="12">
        <v>3</v>
      </c>
      <c r="G281" s="12">
        <v>125</v>
      </c>
      <c r="H281" s="7">
        <f t="shared" si="19"/>
        <v>110875</v>
      </c>
      <c r="I281" s="7">
        <f t="shared" si="16"/>
        <v>11087.5</v>
      </c>
      <c r="J281" s="7">
        <f t="shared" si="17"/>
        <v>99787.5</v>
      </c>
      <c r="K281" s="12">
        <v>106440</v>
      </c>
      <c r="L281" s="12">
        <f t="shared" si="18"/>
        <v>-6652.5</v>
      </c>
      <c r="M281" s="13">
        <v>41609</v>
      </c>
      <c r="N281" s="14"/>
      <c r="O281" s="12"/>
      <c r="P281" s="15"/>
    </row>
    <row r="282" spans="1:16" ht="15.75" customHeight="1" x14ac:dyDescent="0.3">
      <c r="A282" s="6" t="s">
        <v>16</v>
      </c>
      <c r="B282" s="6" t="s">
        <v>23</v>
      </c>
      <c r="C282" s="7" t="s">
        <v>24</v>
      </c>
      <c r="D282" s="7" t="s">
        <v>34</v>
      </c>
      <c r="E282" s="6">
        <v>980</v>
      </c>
      <c r="F282" s="7">
        <v>5</v>
      </c>
      <c r="G282" s="7">
        <v>350</v>
      </c>
      <c r="H282" s="7">
        <f t="shared" si="19"/>
        <v>343000</v>
      </c>
      <c r="I282" s="7">
        <f t="shared" si="16"/>
        <v>34300</v>
      </c>
      <c r="J282" s="7">
        <f t="shared" si="17"/>
        <v>308700</v>
      </c>
      <c r="K282" s="7">
        <v>254800</v>
      </c>
      <c r="L282" s="12">
        <f t="shared" si="18"/>
        <v>53900</v>
      </c>
      <c r="M282" s="8">
        <v>41730</v>
      </c>
      <c r="N282" s="9"/>
      <c r="O282" s="7"/>
      <c r="P282" s="10"/>
    </row>
    <row r="283" spans="1:16" ht="15.75" customHeight="1" x14ac:dyDescent="0.3">
      <c r="A283" s="11" t="s">
        <v>16</v>
      </c>
      <c r="B283" s="11" t="s">
        <v>20</v>
      </c>
      <c r="C283" s="12" t="s">
        <v>24</v>
      </c>
      <c r="D283" s="12" t="s">
        <v>34</v>
      </c>
      <c r="E283" s="11">
        <v>1460</v>
      </c>
      <c r="F283" s="12">
        <v>5</v>
      </c>
      <c r="G283" s="12">
        <v>350</v>
      </c>
      <c r="H283" s="7">
        <f t="shared" si="19"/>
        <v>511000</v>
      </c>
      <c r="I283" s="7">
        <f t="shared" si="16"/>
        <v>51100</v>
      </c>
      <c r="J283" s="7">
        <f t="shared" si="17"/>
        <v>459900</v>
      </c>
      <c r="K283" s="12">
        <v>379600</v>
      </c>
      <c r="L283" s="12">
        <f t="shared" si="18"/>
        <v>80300</v>
      </c>
      <c r="M283" s="13">
        <v>41760</v>
      </c>
      <c r="N283" s="14"/>
      <c r="O283" s="12"/>
      <c r="P283" s="15"/>
    </row>
    <row r="284" spans="1:16" ht="15.75" customHeight="1" x14ac:dyDescent="0.3">
      <c r="A284" s="6" t="s">
        <v>16</v>
      </c>
      <c r="B284" s="6" t="s">
        <v>22</v>
      </c>
      <c r="C284" s="7" t="s">
        <v>24</v>
      </c>
      <c r="D284" s="7" t="s">
        <v>34</v>
      </c>
      <c r="E284" s="6">
        <v>1403</v>
      </c>
      <c r="F284" s="7">
        <v>5</v>
      </c>
      <c r="G284" s="7">
        <v>7</v>
      </c>
      <c r="H284" s="7">
        <f t="shared" si="19"/>
        <v>9821</v>
      </c>
      <c r="I284" s="7">
        <f t="shared" si="16"/>
        <v>982.1</v>
      </c>
      <c r="J284" s="7">
        <f t="shared" si="17"/>
        <v>8838.9</v>
      </c>
      <c r="K284" s="7">
        <v>7015</v>
      </c>
      <c r="L284" s="12">
        <f t="shared" si="18"/>
        <v>1823.8999999999996</v>
      </c>
      <c r="M284" s="8">
        <v>41548</v>
      </c>
      <c r="N284" s="9"/>
      <c r="O284" s="7"/>
      <c r="P284" s="10"/>
    </row>
    <row r="285" spans="1:16" ht="15.75" customHeight="1" x14ac:dyDescent="0.3">
      <c r="A285" s="11" t="s">
        <v>25</v>
      </c>
      <c r="B285" s="11" t="s">
        <v>28</v>
      </c>
      <c r="C285" s="12" t="s">
        <v>24</v>
      </c>
      <c r="D285" s="12" t="s">
        <v>34</v>
      </c>
      <c r="E285" s="11">
        <v>2723</v>
      </c>
      <c r="F285" s="12">
        <v>5</v>
      </c>
      <c r="G285" s="12">
        <v>12</v>
      </c>
      <c r="H285" s="7">
        <f t="shared" si="19"/>
        <v>32676</v>
      </c>
      <c r="I285" s="7">
        <f t="shared" si="16"/>
        <v>3267.6000000000004</v>
      </c>
      <c r="J285" s="7">
        <f t="shared" si="17"/>
        <v>29408.400000000001</v>
      </c>
      <c r="K285" s="12">
        <v>8169</v>
      </c>
      <c r="L285" s="12">
        <f t="shared" si="18"/>
        <v>21239.4</v>
      </c>
      <c r="M285" s="13">
        <v>41944</v>
      </c>
      <c r="N285" s="14"/>
      <c r="O285" s="12"/>
      <c r="P285" s="15"/>
    </row>
    <row r="286" spans="1:16" ht="15.75" customHeight="1" x14ac:dyDescent="0.3">
      <c r="A286" s="6" t="s">
        <v>16</v>
      </c>
      <c r="B286" s="6" t="s">
        <v>22</v>
      </c>
      <c r="C286" s="7" t="s">
        <v>29</v>
      </c>
      <c r="D286" s="7" t="s">
        <v>34</v>
      </c>
      <c r="E286" s="6">
        <v>1496</v>
      </c>
      <c r="F286" s="7">
        <v>10</v>
      </c>
      <c r="G286" s="7">
        <v>350</v>
      </c>
      <c r="H286" s="7">
        <f t="shared" si="19"/>
        <v>523600</v>
      </c>
      <c r="I286" s="7">
        <f t="shared" si="16"/>
        <v>52360</v>
      </c>
      <c r="J286" s="7">
        <f t="shared" si="17"/>
        <v>471240</v>
      </c>
      <c r="K286" s="7">
        <v>388960</v>
      </c>
      <c r="L286" s="12">
        <f t="shared" si="18"/>
        <v>82280</v>
      </c>
      <c r="M286" s="8">
        <v>41791</v>
      </c>
      <c r="N286" s="9"/>
      <c r="O286" s="7"/>
      <c r="P286" s="10"/>
    </row>
    <row r="287" spans="1:16" ht="15.75" customHeight="1" x14ac:dyDescent="0.3">
      <c r="A287" s="11" t="s">
        <v>25</v>
      </c>
      <c r="B287" s="11" t="s">
        <v>17</v>
      </c>
      <c r="C287" s="12" t="s">
        <v>29</v>
      </c>
      <c r="D287" s="12" t="s">
        <v>34</v>
      </c>
      <c r="E287" s="11">
        <v>2299</v>
      </c>
      <c r="F287" s="12">
        <v>10</v>
      </c>
      <c r="G287" s="12">
        <v>12</v>
      </c>
      <c r="H287" s="7">
        <f t="shared" si="19"/>
        <v>27588</v>
      </c>
      <c r="I287" s="7">
        <f t="shared" si="16"/>
        <v>2758.8</v>
      </c>
      <c r="J287" s="7">
        <f t="shared" si="17"/>
        <v>24829.200000000001</v>
      </c>
      <c r="K287" s="12">
        <v>6897</v>
      </c>
      <c r="L287" s="12">
        <f t="shared" si="18"/>
        <v>17932.2</v>
      </c>
      <c r="M287" s="13">
        <v>41548</v>
      </c>
      <c r="N287" s="14"/>
      <c r="O287" s="12"/>
      <c r="P287" s="15"/>
    </row>
    <row r="288" spans="1:16" ht="15.75" customHeight="1" x14ac:dyDescent="0.3">
      <c r="A288" s="6" t="s">
        <v>16</v>
      </c>
      <c r="B288" s="6" t="s">
        <v>28</v>
      </c>
      <c r="C288" s="7" t="s">
        <v>29</v>
      </c>
      <c r="D288" s="7" t="s">
        <v>34</v>
      </c>
      <c r="E288" s="6">
        <v>727</v>
      </c>
      <c r="F288" s="7">
        <v>10</v>
      </c>
      <c r="G288" s="7">
        <v>350</v>
      </c>
      <c r="H288" s="7">
        <f t="shared" si="19"/>
        <v>254450</v>
      </c>
      <c r="I288" s="7">
        <f t="shared" si="16"/>
        <v>25445</v>
      </c>
      <c r="J288" s="7">
        <f t="shared" si="17"/>
        <v>229005</v>
      </c>
      <c r="K288" s="7">
        <v>189020</v>
      </c>
      <c r="L288" s="12">
        <f t="shared" si="18"/>
        <v>39985</v>
      </c>
      <c r="M288" s="8">
        <v>41548</v>
      </c>
      <c r="N288" s="9"/>
      <c r="O288" s="7"/>
      <c r="P288" s="10"/>
    </row>
    <row r="289" spans="1:16" ht="15.75" customHeight="1" x14ac:dyDescent="0.3">
      <c r="A289" s="11" t="s">
        <v>26</v>
      </c>
      <c r="B289" s="11" t="s">
        <v>17</v>
      </c>
      <c r="C289" s="12" t="s">
        <v>30</v>
      </c>
      <c r="D289" s="12" t="s">
        <v>34</v>
      </c>
      <c r="E289" s="11">
        <v>952</v>
      </c>
      <c r="F289" s="12">
        <v>120</v>
      </c>
      <c r="G289" s="12">
        <v>125</v>
      </c>
      <c r="H289" s="7">
        <f t="shared" si="19"/>
        <v>119000</v>
      </c>
      <c r="I289" s="7">
        <f t="shared" si="16"/>
        <v>11900</v>
      </c>
      <c r="J289" s="7">
        <f t="shared" si="17"/>
        <v>107100</v>
      </c>
      <c r="K289" s="12">
        <v>114240</v>
      </c>
      <c r="L289" s="12">
        <f t="shared" si="18"/>
        <v>-7140</v>
      </c>
      <c r="M289" s="13">
        <v>41671</v>
      </c>
      <c r="N289" s="14"/>
      <c r="O289" s="12"/>
      <c r="P289" s="15"/>
    </row>
    <row r="290" spans="1:16" ht="15.75" customHeight="1" x14ac:dyDescent="0.3">
      <c r="A290" s="6" t="s">
        <v>26</v>
      </c>
      <c r="B290" s="6" t="s">
        <v>28</v>
      </c>
      <c r="C290" s="7" t="s">
        <v>30</v>
      </c>
      <c r="D290" s="7" t="s">
        <v>34</v>
      </c>
      <c r="E290" s="6">
        <v>2755</v>
      </c>
      <c r="F290" s="7">
        <v>120</v>
      </c>
      <c r="G290" s="7">
        <v>125</v>
      </c>
      <c r="H290" s="7">
        <f t="shared" si="19"/>
        <v>344375</v>
      </c>
      <c r="I290" s="7">
        <f t="shared" si="16"/>
        <v>34437.5</v>
      </c>
      <c r="J290" s="7">
        <f t="shared" si="17"/>
        <v>309937.5</v>
      </c>
      <c r="K290" s="7">
        <v>330600</v>
      </c>
      <c r="L290" s="12">
        <f t="shared" si="18"/>
        <v>-20662.5</v>
      </c>
      <c r="M290" s="8">
        <v>41671</v>
      </c>
      <c r="N290" s="9"/>
      <c r="O290" s="7"/>
      <c r="P290" s="10"/>
    </row>
    <row r="291" spans="1:16" ht="15.75" customHeight="1" x14ac:dyDescent="0.3">
      <c r="A291" s="11" t="s">
        <v>21</v>
      </c>
      <c r="B291" s="11" t="s">
        <v>20</v>
      </c>
      <c r="C291" s="12" t="s">
        <v>30</v>
      </c>
      <c r="D291" s="12" t="s">
        <v>34</v>
      </c>
      <c r="E291" s="11">
        <v>1530</v>
      </c>
      <c r="F291" s="12">
        <v>120</v>
      </c>
      <c r="G291" s="12">
        <v>15</v>
      </c>
      <c r="H291" s="7">
        <f t="shared" si="19"/>
        <v>22950</v>
      </c>
      <c r="I291" s="7">
        <f t="shared" si="16"/>
        <v>2295</v>
      </c>
      <c r="J291" s="7">
        <f t="shared" si="17"/>
        <v>20655</v>
      </c>
      <c r="K291" s="12">
        <v>15300</v>
      </c>
      <c r="L291" s="12">
        <f t="shared" si="18"/>
        <v>5355</v>
      </c>
      <c r="M291" s="13">
        <v>41760</v>
      </c>
      <c r="N291" s="14"/>
      <c r="O291" s="12"/>
      <c r="P291" s="15"/>
    </row>
    <row r="292" spans="1:16" ht="15.75" customHeight="1" x14ac:dyDescent="0.3">
      <c r="A292" s="6" t="s">
        <v>16</v>
      </c>
      <c r="B292" s="6" t="s">
        <v>22</v>
      </c>
      <c r="C292" s="7" t="s">
        <v>30</v>
      </c>
      <c r="D292" s="7" t="s">
        <v>34</v>
      </c>
      <c r="E292" s="6">
        <v>1496</v>
      </c>
      <c r="F292" s="7">
        <v>120</v>
      </c>
      <c r="G292" s="7">
        <v>350</v>
      </c>
      <c r="H292" s="7">
        <f t="shared" si="19"/>
        <v>523600</v>
      </c>
      <c r="I292" s="7">
        <f t="shared" si="16"/>
        <v>52360</v>
      </c>
      <c r="J292" s="7">
        <f t="shared" si="17"/>
        <v>471240</v>
      </c>
      <c r="K292" s="7">
        <v>388960</v>
      </c>
      <c r="L292" s="12">
        <f t="shared" si="18"/>
        <v>82280</v>
      </c>
      <c r="M292" s="8">
        <v>41791</v>
      </c>
      <c r="N292" s="9"/>
      <c r="O292" s="7"/>
      <c r="P292" s="10"/>
    </row>
    <row r="293" spans="1:16" ht="15.75" customHeight="1" x14ac:dyDescent="0.3">
      <c r="A293" s="11" t="s">
        <v>16</v>
      </c>
      <c r="B293" s="11" t="s">
        <v>23</v>
      </c>
      <c r="C293" s="12" t="s">
        <v>30</v>
      </c>
      <c r="D293" s="12" t="s">
        <v>34</v>
      </c>
      <c r="E293" s="11">
        <v>1498</v>
      </c>
      <c r="F293" s="12">
        <v>120</v>
      </c>
      <c r="G293" s="12">
        <v>7</v>
      </c>
      <c r="H293" s="7">
        <f t="shared" si="19"/>
        <v>10486</v>
      </c>
      <c r="I293" s="7">
        <f t="shared" si="16"/>
        <v>1048.6000000000001</v>
      </c>
      <c r="J293" s="7">
        <f t="shared" si="17"/>
        <v>9437.4</v>
      </c>
      <c r="K293" s="12">
        <v>7490</v>
      </c>
      <c r="L293" s="12">
        <f t="shared" si="18"/>
        <v>1947.3999999999996</v>
      </c>
      <c r="M293" s="13">
        <v>41791</v>
      </c>
      <c r="N293" s="14"/>
      <c r="O293" s="12"/>
      <c r="P293" s="15"/>
    </row>
    <row r="294" spans="1:16" ht="15.75" customHeight="1" x14ac:dyDescent="0.3">
      <c r="A294" s="6" t="s">
        <v>27</v>
      </c>
      <c r="B294" s="6" t="s">
        <v>22</v>
      </c>
      <c r="C294" s="7" t="s">
        <v>30</v>
      </c>
      <c r="D294" s="7" t="s">
        <v>34</v>
      </c>
      <c r="E294" s="6">
        <v>1221</v>
      </c>
      <c r="F294" s="7">
        <v>120</v>
      </c>
      <c r="G294" s="7">
        <v>300</v>
      </c>
      <c r="H294" s="7">
        <f t="shared" si="19"/>
        <v>366300</v>
      </c>
      <c r="I294" s="7">
        <f t="shared" si="16"/>
        <v>36630</v>
      </c>
      <c r="J294" s="7">
        <f t="shared" si="17"/>
        <v>329670</v>
      </c>
      <c r="K294" s="7">
        <v>305250</v>
      </c>
      <c r="L294" s="12">
        <f t="shared" si="18"/>
        <v>24420</v>
      </c>
      <c r="M294" s="8">
        <v>41548</v>
      </c>
      <c r="N294" s="9"/>
      <c r="O294" s="7"/>
      <c r="P294" s="10"/>
    </row>
    <row r="295" spans="1:16" ht="15.75" customHeight="1" x14ac:dyDescent="0.3">
      <c r="A295" s="11" t="s">
        <v>16</v>
      </c>
      <c r="B295" s="11" t="s">
        <v>22</v>
      </c>
      <c r="C295" s="12" t="s">
        <v>30</v>
      </c>
      <c r="D295" s="12" t="s">
        <v>34</v>
      </c>
      <c r="E295" s="11">
        <v>2076</v>
      </c>
      <c r="F295" s="12">
        <v>120</v>
      </c>
      <c r="G295" s="12">
        <v>350</v>
      </c>
      <c r="H295" s="7">
        <f t="shared" si="19"/>
        <v>726600</v>
      </c>
      <c r="I295" s="7">
        <f t="shared" si="16"/>
        <v>72660</v>
      </c>
      <c r="J295" s="7">
        <f t="shared" si="17"/>
        <v>653940</v>
      </c>
      <c r="K295" s="12">
        <v>539760</v>
      </c>
      <c r="L295" s="12">
        <f t="shared" si="18"/>
        <v>114180</v>
      </c>
      <c r="M295" s="13">
        <v>41548</v>
      </c>
      <c r="N295" s="14"/>
      <c r="O295" s="12"/>
      <c r="P295" s="15"/>
    </row>
    <row r="296" spans="1:16" ht="15.75" customHeight="1" x14ac:dyDescent="0.3">
      <c r="A296" s="6" t="s">
        <v>21</v>
      </c>
      <c r="B296" s="6" t="s">
        <v>17</v>
      </c>
      <c r="C296" s="7" t="s">
        <v>31</v>
      </c>
      <c r="D296" s="7" t="s">
        <v>34</v>
      </c>
      <c r="E296" s="6">
        <v>2844</v>
      </c>
      <c r="F296" s="7">
        <v>250</v>
      </c>
      <c r="G296" s="7">
        <v>15</v>
      </c>
      <c r="H296" s="7">
        <f t="shared" si="19"/>
        <v>42660</v>
      </c>
      <c r="I296" s="7">
        <f t="shared" si="16"/>
        <v>4266</v>
      </c>
      <c r="J296" s="7">
        <f t="shared" si="17"/>
        <v>38394</v>
      </c>
      <c r="K296" s="7">
        <v>28440</v>
      </c>
      <c r="L296" s="12">
        <f t="shared" si="18"/>
        <v>9954</v>
      </c>
      <c r="M296" s="8">
        <v>41791</v>
      </c>
      <c r="N296" s="9"/>
      <c r="O296" s="7"/>
      <c r="P296" s="10"/>
    </row>
    <row r="297" spans="1:16" ht="15.75" customHeight="1" x14ac:dyDescent="0.3">
      <c r="A297" s="11" t="s">
        <v>16</v>
      </c>
      <c r="B297" s="11" t="s">
        <v>23</v>
      </c>
      <c r="C297" s="12" t="s">
        <v>31</v>
      </c>
      <c r="D297" s="12" t="s">
        <v>34</v>
      </c>
      <c r="E297" s="11">
        <v>1498</v>
      </c>
      <c r="F297" s="12">
        <v>250</v>
      </c>
      <c r="G297" s="12">
        <v>7</v>
      </c>
      <c r="H297" s="7">
        <f t="shared" si="19"/>
        <v>10486</v>
      </c>
      <c r="I297" s="7">
        <f t="shared" si="16"/>
        <v>1048.6000000000001</v>
      </c>
      <c r="J297" s="7">
        <f t="shared" si="17"/>
        <v>9437.4</v>
      </c>
      <c r="K297" s="12">
        <v>7490</v>
      </c>
      <c r="L297" s="12">
        <f t="shared" si="18"/>
        <v>1947.3999999999996</v>
      </c>
      <c r="M297" s="13">
        <v>41791</v>
      </c>
      <c r="N297" s="14"/>
      <c r="O297" s="12"/>
      <c r="P297" s="15"/>
    </row>
    <row r="298" spans="1:16" ht="15.75" customHeight="1" x14ac:dyDescent="0.3">
      <c r="A298" s="6" t="s">
        <v>27</v>
      </c>
      <c r="B298" s="6" t="s">
        <v>22</v>
      </c>
      <c r="C298" s="7" t="s">
        <v>31</v>
      </c>
      <c r="D298" s="7" t="s">
        <v>34</v>
      </c>
      <c r="E298" s="6">
        <v>1221</v>
      </c>
      <c r="F298" s="7">
        <v>250</v>
      </c>
      <c r="G298" s="7">
        <v>300</v>
      </c>
      <c r="H298" s="7">
        <f t="shared" si="19"/>
        <v>366300</v>
      </c>
      <c r="I298" s="7">
        <f t="shared" si="16"/>
        <v>36630</v>
      </c>
      <c r="J298" s="7">
        <f t="shared" si="17"/>
        <v>329670</v>
      </c>
      <c r="K298" s="7">
        <v>305250</v>
      </c>
      <c r="L298" s="12">
        <f t="shared" si="18"/>
        <v>24420</v>
      </c>
      <c r="M298" s="8">
        <v>41548</v>
      </c>
      <c r="N298" s="9"/>
      <c r="O298" s="7"/>
      <c r="P298" s="10"/>
    </row>
    <row r="299" spans="1:16" ht="15.75" customHeight="1" x14ac:dyDescent="0.3">
      <c r="A299" s="11" t="s">
        <v>16</v>
      </c>
      <c r="B299" s="11" t="s">
        <v>23</v>
      </c>
      <c r="C299" s="12" t="s">
        <v>31</v>
      </c>
      <c r="D299" s="12" t="s">
        <v>34</v>
      </c>
      <c r="E299" s="11">
        <v>1123</v>
      </c>
      <c r="F299" s="12">
        <v>250</v>
      </c>
      <c r="G299" s="12">
        <v>20</v>
      </c>
      <c r="H299" s="7">
        <f t="shared" si="19"/>
        <v>22460</v>
      </c>
      <c r="I299" s="7">
        <f t="shared" si="16"/>
        <v>2246</v>
      </c>
      <c r="J299" s="7">
        <f t="shared" si="17"/>
        <v>20214</v>
      </c>
      <c r="K299" s="12">
        <v>11230</v>
      </c>
      <c r="L299" s="12">
        <f t="shared" si="18"/>
        <v>8984</v>
      </c>
      <c r="M299" s="13">
        <v>41579</v>
      </c>
      <c r="N299" s="14"/>
      <c r="O299" s="12"/>
      <c r="P299" s="15"/>
    </row>
    <row r="300" spans="1:16" ht="15.75" customHeight="1" x14ac:dyDescent="0.3">
      <c r="A300" s="6" t="s">
        <v>27</v>
      </c>
      <c r="B300" s="6" t="s">
        <v>17</v>
      </c>
      <c r="C300" s="7" t="s">
        <v>31</v>
      </c>
      <c r="D300" s="7" t="s">
        <v>34</v>
      </c>
      <c r="E300" s="6">
        <v>2436</v>
      </c>
      <c r="F300" s="7">
        <v>250</v>
      </c>
      <c r="G300" s="7">
        <v>300</v>
      </c>
      <c r="H300" s="7">
        <f t="shared" si="19"/>
        <v>730800</v>
      </c>
      <c r="I300" s="7">
        <f t="shared" si="16"/>
        <v>73080</v>
      </c>
      <c r="J300" s="7">
        <f t="shared" si="17"/>
        <v>657720</v>
      </c>
      <c r="K300" s="7">
        <v>609000</v>
      </c>
      <c r="L300" s="12">
        <f t="shared" si="18"/>
        <v>48720</v>
      </c>
      <c r="M300" s="8">
        <v>41609</v>
      </c>
      <c r="N300" s="9"/>
      <c r="O300" s="7"/>
      <c r="P300" s="10"/>
    </row>
    <row r="301" spans="1:16" ht="15.75" customHeight="1" x14ac:dyDescent="0.3">
      <c r="A301" s="11" t="s">
        <v>26</v>
      </c>
      <c r="B301" s="11" t="s">
        <v>22</v>
      </c>
      <c r="C301" s="12" t="s">
        <v>32</v>
      </c>
      <c r="D301" s="12" t="s">
        <v>34</v>
      </c>
      <c r="E301" s="11">
        <v>1987.5</v>
      </c>
      <c r="F301" s="12">
        <v>260</v>
      </c>
      <c r="G301" s="12">
        <v>125</v>
      </c>
      <c r="H301" s="7">
        <f t="shared" si="19"/>
        <v>248437.5</v>
      </c>
      <c r="I301" s="7">
        <f t="shared" si="16"/>
        <v>24843.75</v>
      </c>
      <c r="J301" s="7">
        <f t="shared" si="17"/>
        <v>223593.75</v>
      </c>
      <c r="K301" s="12">
        <v>238500</v>
      </c>
      <c r="L301" s="12">
        <f t="shared" si="18"/>
        <v>-14906.25</v>
      </c>
      <c r="M301" s="13">
        <v>41640</v>
      </c>
      <c r="N301" s="14"/>
      <c r="O301" s="12"/>
      <c r="P301" s="15"/>
    </row>
    <row r="302" spans="1:16" ht="15.75" customHeight="1" x14ac:dyDescent="0.3">
      <c r="A302" s="6" t="s">
        <v>16</v>
      </c>
      <c r="B302" s="6" t="s">
        <v>23</v>
      </c>
      <c r="C302" s="7" t="s">
        <v>32</v>
      </c>
      <c r="D302" s="7" t="s">
        <v>34</v>
      </c>
      <c r="E302" s="6">
        <v>1679</v>
      </c>
      <c r="F302" s="7">
        <v>260</v>
      </c>
      <c r="G302" s="7">
        <v>350</v>
      </c>
      <c r="H302" s="7">
        <f t="shared" si="19"/>
        <v>587650</v>
      </c>
      <c r="I302" s="7">
        <f t="shared" si="16"/>
        <v>58765</v>
      </c>
      <c r="J302" s="7">
        <f t="shared" si="17"/>
        <v>528885</v>
      </c>
      <c r="K302" s="7">
        <v>436540</v>
      </c>
      <c r="L302" s="12">
        <f t="shared" si="18"/>
        <v>92345</v>
      </c>
      <c r="M302" s="8">
        <v>41883</v>
      </c>
      <c r="N302" s="9"/>
      <c r="O302" s="7"/>
      <c r="P302" s="10"/>
    </row>
    <row r="303" spans="1:16" ht="15.75" customHeight="1" x14ac:dyDescent="0.3">
      <c r="A303" s="11" t="s">
        <v>16</v>
      </c>
      <c r="B303" s="11" t="s">
        <v>28</v>
      </c>
      <c r="C303" s="12" t="s">
        <v>32</v>
      </c>
      <c r="D303" s="12" t="s">
        <v>34</v>
      </c>
      <c r="E303" s="11">
        <v>727</v>
      </c>
      <c r="F303" s="12">
        <v>260</v>
      </c>
      <c r="G303" s="12">
        <v>350</v>
      </c>
      <c r="H303" s="7">
        <f t="shared" si="19"/>
        <v>254450</v>
      </c>
      <c r="I303" s="7">
        <f t="shared" si="16"/>
        <v>25445</v>
      </c>
      <c r="J303" s="7">
        <f t="shared" si="17"/>
        <v>229005</v>
      </c>
      <c r="K303" s="12">
        <v>189020</v>
      </c>
      <c r="L303" s="12">
        <f t="shared" si="18"/>
        <v>39985</v>
      </c>
      <c r="M303" s="13">
        <v>41548</v>
      </c>
      <c r="N303" s="14"/>
      <c r="O303" s="12"/>
      <c r="P303" s="15"/>
    </row>
    <row r="304" spans="1:16" ht="15.75" customHeight="1" x14ac:dyDescent="0.3">
      <c r="A304" s="6" t="s">
        <v>16</v>
      </c>
      <c r="B304" s="6" t="s">
        <v>22</v>
      </c>
      <c r="C304" s="7" t="s">
        <v>32</v>
      </c>
      <c r="D304" s="7" t="s">
        <v>34</v>
      </c>
      <c r="E304" s="6">
        <v>1403</v>
      </c>
      <c r="F304" s="7">
        <v>260</v>
      </c>
      <c r="G304" s="7">
        <v>7</v>
      </c>
      <c r="H304" s="7">
        <f t="shared" si="19"/>
        <v>9821</v>
      </c>
      <c r="I304" s="7">
        <f t="shared" si="16"/>
        <v>982.1</v>
      </c>
      <c r="J304" s="7">
        <f t="shared" si="17"/>
        <v>8838.9</v>
      </c>
      <c r="K304" s="7">
        <v>7015</v>
      </c>
      <c r="L304" s="12">
        <f t="shared" si="18"/>
        <v>1823.8999999999996</v>
      </c>
      <c r="M304" s="8">
        <v>41548</v>
      </c>
      <c r="N304" s="9"/>
      <c r="O304" s="7"/>
      <c r="P304" s="10"/>
    </row>
    <row r="305" spans="1:16" ht="15.75" customHeight="1" x14ac:dyDescent="0.3">
      <c r="A305" s="11" t="s">
        <v>16</v>
      </c>
      <c r="B305" s="11" t="s">
        <v>22</v>
      </c>
      <c r="C305" s="12" t="s">
        <v>32</v>
      </c>
      <c r="D305" s="12" t="s">
        <v>34</v>
      </c>
      <c r="E305" s="11">
        <v>2076</v>
      </c>
      <c r="F305" s="12">
        <v>260</v>
      </c>
      <c r="G305" s="12">
        <v>350</v>
      </c>
      <c r="H305" s="7">
        <f t="shared" si="19"/>
        <v>726600</v>
      </c>
      <c r="I305" s="7">
        <f t="shared" si="16"/>
        <v>72660</v>
      </c>
      <c r="J305" s="7">
        <f t="shared" si="17"/>
        <v>653940</v>
      </c>
      <c r="K305" s="12">
        <v>539760</v>
      </c>
      <c r="L305" s="12">
        <f t="shared" si="18"/>
        <v>114180</v>
      </c>
      <c r="M305" s="13">
        <v>41548</v>
      </c>
      <c r="N305" s="14"/>
      <c r="O305" s="12"/>
      <c r="P305" s="15"/>
    </row>
    <row r="306" spans="1:16" ht="15.75" customHeight="1" x14ac:dyDescent="0.3">
      <c r="A306" s="6" t="s">
        <v>16</v>
      </c>
      <c r="B306" s="6" t="s">
        <v>22</v>
      </c>
      <c r="C306" s="7" t="s">
        <v>24</v>
      </c>
      <c r="D306" s="7" t="s">
        <v>34</v>
      </c>
      <c r="E306" s="6">
        <v>1757</v>
      </c>
      <c r="F306" s="7">
        <v>5</v>
      </c>
      <c r="G306" s="7">
        <v>20</v>
      </c>
      <c r="H306" s="7">
        <f t="shared" si="19"/>
        <v>35140</v>
      </c>
      <c r="I306" s="7">
        <f t="shared" si="16"/>
        <v>3514</v>
      </c>
      <c r="J306" s="7">
        <f t="shared" si="17"/>
        <v>31626</v>
      </c>
      <c r="K306" s="7">
        <v>17570</v>
      </c>
      <c r="L306" s="12">
        <f t="shared" si="18"/>
        <v>14056</v>
      </c>
      <c r="M306" s="8">
        <v>41548</v>
      </c>
      <c r="N306" s="9"/>
      <c r="O306" s="7"/>
      <c r="P306" s="10"/>
    </row>
    <row r="307" spans="1:16" ht="15.75" customHeight="1" x14ac:dyDescent="0.3">
      <c r="A307" s="11" t="s">
        <v>21</v>
      </c>
      <c r="B307" s="11" t="s">
        <v>28</v>
      </c>
      <c r="C307" s="12" t="s">
        <v>29</v>
      </c>
      <c r="D307" s="12" t="s">
        <v>34</v>
      </c>
      <c r="E307" s="11">
        <v>2198</v>
      </c>
      <c r="F307" s="12">
        <v>10</v>
      </c>
      <c r="G307" s="12">
        <v>15</v>
      </c>
      <c r="H307" s="7">
        <f t="shared" si="19"/>
        <v>32970</v>
      </c>
      <c r="I307" s="7">
        <f t="shared" si="16"/>
        <v>3297</v>
      </c>
      <c r="J307" s="7">
        <f t="shared" si="17"/>
        <v>29673</v>
      </c>
      <c r="K307" s="12">
        <v>21980</v>
      </c>
      <c r="L307" s="12">
        <f t="shared" si="18"/>
        <v>7693</v>
      </c>
      <c r="M307" s="13">
        <v>41852</v>
      </c>
      <c r="N307" s="14"/>
      <c r="O307" s="12"/>
      <c r="P307" s="15"/>
    </row>
    <row r="308" spans="1:16" ht="15.75" customHeight="1" x14ac:dyDescent="0.3">
      <c r="A308" s="6" t="s">
        <v>21</v>
      </c>
      <c r="B308" s="6" t="s">
        <v>20</v>
      </c>
      <c r="C308" s="7" t="s">
        <v>29</v>
      </c>
      <c r="D308" s="7" t="s">
        <v>34</v>
      </c>
      <c r="E308" s="6">
        <v>1743</v>
      </c>
      <c r="F308" s="7">
        <v>10</v>
      </c>
      <c r="G308" s="7">
        <v>15</v>
      </c>
      <c r="H308" s="7">
        <f t="shared" si="19"/>
        <v>26145</v>
      </c>
      <c r="I308" s="7">
        <f t="shared" si="16"/>
        <v>2614.5</v>
      </c>
      <c r="J308" s="7">
        <f t="shared" si="17"/>
        <v>23530.5</v>
      </c>
      <c r="K308" s="7">
        <v>17430</v>
      </c>
      <c r="L308" s="12">
        <f t="shared" si="18"/>
        <v>6100.5</v>
      </c>
      <c r="M308" s="8">
        <v>41852</v>
      </c>
      <c r="N308" s="9"/>
      <c r="O308" s="7"/>
      <c r="P308" s="10"/>
    </row>
    <row r="309" spans="1:16" ht="15.75" customHeight="1" x14ac:dyDescent="0.3">
      <c r="A309" s="11" t="s">
        <v>21</v>
      </c>
      <c r="B309" s="11" t="s">
        <v>28</v>
      </c>
      <c r="C309" s="12" t="s">
        <v>29</v>
      </c>
      <c r="D309" s="12" t="s">
        <v>34</v>
      </c>
      <c r="E309" s="11">
        <v>1153</v>
      </c>
      <c r="F309" s="12">
        <v>10</v>
      </c>
      <c r="G309" s="12">
        <v>15</v>
      </c>
      <c r="H309" s="7">
        <f t="shared" si="19"/>
        <v>17295</v>
      </c>
      <c r="I309" s="7">
        <f t="shared" si="16"/>
        <v>1729.5</v>
      </c>
      <c r="J309" s="7">
        <f t="shared" si="17"/>
        <v>15565.5</v>
      </c>
      <c r="K309" s="12">
        <v>11530</v>
      </c>
      <c r="L309" s="12">
        <f t="shared" si="18"/>
        <v>4035.5</v>
      </c>
      <c r="M309" s="13">
        <v>41913</v>
      </c>
      <c r="N309" s="14"/>
      <c r="O309" s="12"/>
      <c r="P309" s="15"/>
    </row>
    <row r="310" spans="1:16" ht="15.75" customHeight="1" x14ac:dyDescent="0.3">
      <c r="A310" s="6" t="s">
        <v>16</v>
      </c>
      <c r="B310" s="6" t="s">
        <v>22</v>
      </c>
      <c r="C310" s="7" t="s">
        <v>29</v>
      </c>
      <c r="D310" s="7" t="s">
        <v>34</v>
      </c>
      <c r="E310" s="6">
        <v>1757</v>
      </c>
      <c r="F310" s="7">
        <v>10</v>
      </c>
      <c r="G310" s="7">
        <v>20</v>
      </c>
      <c r="H310" s="7">
        <f t="shared" si="19"/>
        <v>35140</v>
      </c>
      <c r="I310" s="7">
        <f t="shared" si="16"/>
        <v>3514</v>
      </c>
      <c r="J310" s="7">
        <f t="shared" si="17"/>
        <v>31626</v>
      </c>
      <c r="K310" s="7">
        <v>17570</v>
      </c>
      <c r="L310" s="12">
        <f t="shared" si="18"/>
        <v>14056</v>
      </c>
      <c r="M310" s="8">
        <v>41548</v>
      </c>
      <c r="N310" s="9"/>
      <c r="O310" s="7"/>
      <c r="P310" s="10"/>
    </row>
    <row r="311" spans="1:16" ht="15.75" customHeight="1" x14ac:dyDescent="0.3">
      <c r="A311" s="11" t="s">
        <v>16</v>
      </c>
      <c r="B311" s="11" t="s">
        <v>20</v>
      </c>
      <c r="C311" s="12" t="s">
        <v>30</v>
      </c>
      <c r="D311" s="12" t="s">
        <v>34</v>
      </c>
      <c r="E311" s="11">
        <v>1001</v>
      </c>
      <c r="F311" s="12">
        <v>120</v>
      </c>
      <c r="G311" s="12">
        <v>20</v>
      </c>
      <c r="H311" s="7">
        <f t="shared" si="19"/>
        <v>20020</v>
      </c>
      <c r="I311" s="7">
        <f t="shared" si="16"/>
        <v>2002</v>
      </c>
      <c r="J311" s="7">
        <f t="shared" si="17"/>
        <v>18018</v>
      </c>
      <c r="K311" s="12">
        <v>10010</v>
      </c>
      <c r="L311" s="12">
        <f t="shared" si="18"/>
        <v>8008</v>
      </c>
      <c r="M311" s="13">
        <v>41852</v>
      </c>
      <c r="N311" s="14"/>
      <c r="O311" s="12"/>
      <c r="P311" s="15"/>
    </row>
    <row r="312" spans="1:16" ht="15.75" customHeight="1" x14ac:dyDescent="0.3">
      <c r="A312" s="6" t="s">
        <v>16</v>
      </c>
      <c r="B312" s="6" t="s">
        <v>23</v>
      </c>
      <c r="C312" s="7" t="s">
        <v>30</v>
      </c>
      <c r="D312" s="7" t="s">
        <v>34</v>
      </c>
      <c r="E312" s="6">
        <v>1333</v>
      </c>
      <c r="F312" s="7">
        <v>120</v>
      </c>
      <c r="G312" s="7">
        <v>7</v>
      </c>
      <c r="H312" s="7">
        <f t="shared" si="19"/>
        <v>9331</v>
      </c>
      <c r="I312" s="7">
        <f t="shared" si="16"/>
        <v>933.1</v>
      </c>
      <c r="J312" s="7">
        <f t="shared" si="17"/>
        <v>8397.9</v>
      </c>
      <c r="K312" s="7">
        <v>6665</v>
      </c>
      <c r="L312" s="12">
        <f t="shared" si="18"/>
        <v>1732.8999999999996</v>
      </c>
      <c r="M312" s="8">
        <v>41944</v>
      </c>
      <c r="N312" s="9"/>
      <c r="O312" s="7"/>
      <c r="P312" s="10"/>
    </row>
    <row r="313" spans="1:16" ht="15.75" customHeight="1" x14ac:dyDescent="0.3">
      <c r="A313" s="11" t="s">
        <v>21</v>
      </c>
      <c r="B313" s="11" t="s">
        <v>28</v>
      </c>
      <c r="C313" s="12" t="s">
        <v>31</v>
      </c>
      <c r="D313" s="12" t="s">
        <v>34</v>
      </c>
      <c r="E313" s="11">
        <v>1153</v>
      </c>
      <c r="F313" s="12">
        <v>250</v>
      </c>
      <c r="G313" s="12">
        <v>15</v>
      </c>
      <c r="H313" s="7">
        <f t="shared" si="19"/>
        <v>17295</v>
      </c>
      <c r="I313" s="7">
        <f t="shared" si="16"/>
        <v>1729.5</v>
      </c>
      <c r="J313" s="7">
        <f t="shared" si="17"/>
        <v>15565.5</v>
      </c>
      <c r="K313" s="12">
        <v>11530</v>
      </c>
      <c r="L313" s="12">
        <f t="shared" si="18"/>
        <v>4035.5</v>
      </c>
      <c r="M313" s="13">
        <v>41913</v>
      </c>
      <c r="N313" s="14"/>
      <c r="O313" s="12"/>
      <c r="P313" s="15"/>
    </row>
    <row r="314" spans="1:16" ht="15.75" customHeight="1" x14ac:dyDescent="0.3">
      <c r="A314" s="6" t="s">
        <v>25</v>
      </c>
      <c r="B314" s="6" t="s">
        <v>23</v>
      </c>
      <c r="C314" s="7" t="s">
        <v>18</v>
      </c>
      <c r="D314" s="7" t="s">
        <v>34</v>
      </c>
      <c r="E314" s="6">
        <v>727</v>
      </c>
      <c r="F314" s="7">
        <v>3</v>
      </c>
      <c r="G314" s="7">
        <v>12</v>
      </c>
      <c r="H314" s="7">
        <f t="shared" si="19"/>
        <v>8724</v>
      </c>
      <c r="I314" s="7">
        <f t="shared" si="16"/>
        <v>872.40000000000009</v>
      </c>
      <c r="J314" s="7">
        <f t="shared" si="17"/>
        <v>7851.6</v>
      </c>
      <c r="K314" s="7">
        <v>2181</v>
      </c>
      <c r="L314" s="12">
        <f t="shared" si="18"/>
        <v>5670.6</v>
      </c>
      <c r="M314" s="8">
        <v>41671</v>
      </c>
      <c r="N314" s="9"/>
      <c r="O314" s="7"/>
      <c r="P314" s="10"/>
    </row>
    <row r="315" spans="1:16" ht="15.75" customHeight="1" x14ac:dyDescent="0.3">
      <c r="A315" s="11" t="s">
        <v>25</v>
      </c>
      <c r="B315" s="11" t="s">
        <v>17</v>
      </c>
      <c r="C315" s="12" t="s">
        <v>18</v>
      </c>
      <c r="D315" s="12" t="s">
        <v>34</v>
      </c>
      <c r="E315" s="11">
        <v>1884</v>
      </c>
      <c r="F315" s="12">
        <v>3</v>
      </c>
      <c r="G315" s="12">
        <v>12</v>
      </c>
      <c r="H315" s="7">
        <f t="shared" si="19"/>
        <v>22608</v>
      </c>
      <c r="I315" s="7">
        <f t="shared" si="16"/>
        <v>2260.8000000000002</v>
      </c>
      <c r="J315" s="7">
        <f t="shared" si="17"/>
        <v>20347.2</v>
      </c>
      <c r="K315" s="12">
        <v>5652</v>
      </c>
      <c r="L315" s="12">
        <f t="shared" si="18"/>
        <v>14695.2</v>
      </c>
      <c r="M315" s="13">
        <v>41852</v>
      </c>
      <c r="N315" s="14"/>
      <c r="O315" s="12"/>
      <c r="P315" s="15"/>
    </row>
    <row r="316" spans="1:16" ht="15.75" customHeight="1" x14ac:dyDescent="0.3">
      <c r="A316" s="6" t="s">
        <v>16</v>
      </c>
      <c r="B316" s="6" t="s">
        <v>23</v>
      </c>
      <c r="C316" s="7" t="s">
        <v>18</v>
      </c>
      <c r="D316" s="7" t="s">
        <v>34</v>
      </c>
      <c r="E316" s="6">
        <v>1834</v>
      </c>
      <c r="F316" s="7">
        <v>3</v>
      </c>
      <c r="G316" s="7">
        <v>20</v>
      </c>
      <c r="H316" s="7">
        <f t="shared" si="19"/>
        <v>36680</v>
      </c>
      <c r="I316" s="7">
        <f t="shared" si="16"/>
        <v>3668</v>
      </c>
      <c r="J316" s="7">
        <f t="shared" si="17"/>
        <v>33012</v>
      </c>
      <c r="K316" s="7">
        <v>18340</v>
      </c>
      <c r="L316" s="12">
        <f t="shared" si="18"/>
        <v>14672</v>
      </c>
      <c r="M316" s="8">
        <v>41518</v>
      </c>
      <c r="N316" s="9"/>
      <c r="O316" s="7"/>
      <c r="P316" s="10"/>
    </row>
    <row r="317" spans="1:16" ht="15.75" customHeight="1" x14ac:dyDescent="0.3">
      <c r="A317" s="11" t="s">
        <v>25</v>
      </c>
      <c r="B317" s="11" t="s">
        <v>23</v>
      </c>
      <c r="C317" s="12" t="s">
        <v>24</v>
      </c>
      <c r="D317" s="12" t="s">
        <v>34</v>
      </c>
      <c r="E317" s="11">
        <v>2340</v>
      </c>
      <c r="F317" s="12">
        <v>5</v>
      </c>
      <c r="G317" s="12">
        <v>12</v>
      </c>
      <c r="H317" s="7">
        <f t="shared" si="19"/>
        <v>28080</v>
      </c>
      <c r="I317" s="7">
        <f t="shared" si="16"/>
        <v>2808</v>
      </c>
      <c r="J317" s="7">
        <f t="shared" si="17"/>
        <v>25272</v>
      </c>
      <c r="K317" s="12">
        <v>7020</v>
      </c>
      <c r="L317" s="12">
        <f t="shared" si="18"/>
        <v>18252</v>
      </c>
      <c r="M317" s="13">
        <v>41640</v>
      </c>
      <c r="N317" s="14"/>
      <c r="O317" s="12"/>
      <c r="P317" s="15"/>
    </row>
    <row r="318" spans="1:16" ht="15.75" customHeight="1" x14ac:dyDescent="0.3">
      <c r="A318" s="6" t="s">
        <v>25</v>
      </c>
      <c r="B318" s="6" t="s">
        <v>22</v>
      </c>
      <c r="C318" s="7" t="s">
        <v>24</v>
      </c>
      <c r="D318" s="7" t="s">
        <v>34</v>
      </c>
      <c r="E318" s="6">
        <v>2342</v>
      </c>
      <c r="F318" s="7">
        <v>5</v>
      </c>
      <c r="G318" s="7">
        <v>12</v>
      </c>
      <c r="H318" s="7">
        <f t="shared" si="19"/>
        <v>28104</v>
      </c>
      <c r="I318" s="7">
        <f t="shared" si="16"/>
        <v>2810.4</v>
      </c>
      <c r="J318" s="7">
        <f t="shared" si="17"/>
        <v>25293.599999999999</v>
      </c>
      <c r="K318" s="7">
        <v>7026</v>
      </c>
      <c r="L318" s="12">
        <f t="shared" si="18"/>
        <v>18267.599999999999</v>
      </c>
      <c r="M318" s="8">
        <v>41944</v>
      </c>
      <c r="N318" s="9"/>
      <c r="O318" s="7"/>
      <c r="P318" s="10"/>
    </row>
    <row r="319" spans="1:16" ht="15.75" customHeight="1" x14ac:dyDescent="0.3">
      <c r="A319" s="11" t="s">
        <v>16</v>
      </c>
      <c r="B319" s="11" t="s">
        <v>22</v>
      </c>
      <c r="C319" s="12" t="s">
        <v>29</v>
      </c>
      <c r="D319" s="12" t="s">
        <v>34</v>
      </c>
      <c r="E319" s="11">
        <v>1031</v>
      </c>
      <c r="F319" s="12">
        <v>10</v>
      </c>
      <c r="G319" s="12">
        <v>7</v>
      </c>
      <c r="H319" s="7">
        <f t="shared" si="19"/>
        <v>7217</v>
      </c>
      <c r="I319" s="7">
        <f t="shared" si="16"/>
        <v>721.7</v>
      </c>
      <c r="J319" s="7">
        <f t="shared" si="17"/>
        <v>6495.3</v>
      </c>
      <c r="K319" s="12">
        <v>5155</v>
      </c>
      <c r="L319" s="12">
        <f t="shared" si="18"/>
        <v>1340.3000000000002</v>
      </c>
      <c r="M319" s="13">
        <v>41518</v>
      </c>
      <c r="N319" s="14"/>
      <c r="O319" s="12"/>
      <c r="P319" s="15"/>
    </row>
    <row r="320" spans="1:16" ht="15.75" customHeight="1" x14ac:dyDescent="0.3">
      <c r="A320" s="6" t="s">
        <v>21</v>
      </c>
      <c r="B320" s="6" t="s">
        <v>17</v>
      </c>
      <c r="C320" s="7" t="s">
        <v>30</v>
      </c>
      <c r="D320" s="7" t="s">
        <v>34</v>
      </c>
      <c r="E320" s="6">
        <v>1262</v>
      </c>
      <c r="F320" s="7">
        <v>120</v>
      </c>
      <c r="G320" s="7">
        <v>15</v>
      </c>
      <c r="H320" s="7">
        <f t="shared" si="19"/>
        <v>18930</v>
      </c>
      <c r="I320" s="7">
        <f t="shared" si="16"/>
        <v>1893</v>
      </c>
      <c r="J320" s="7">
        <f t="shared" si="17"/>
        <v>17037</v>
      </c>
      <c r="K320" s="7">
        <v>12620</v>
      </c>
      <c r="L320" s="12">
        <f t="shared" si="18"/>
        <v>4417</v>
      </c>
      <c r="M320" s="8">
        <v>41760</v>
      </c>
      <c r="N320" s="9"/>
      <c r="O320" s="7"/>
      <c r="P320" s="10"/>
    </row>
    <row r="321" spans="1:16" ht="15.75" customHeight="1" x14ac:dyDescent="0.3">
      <c r="A321" s="11" t="s">
        <v>16</v>
      </c>
      <c r="B321" s="11" t="s">
        <v>17</v>
      </c>
      <c r="C321" s="12" t="s">
        <v>30</v>
      </c>
      <c r="D321" s="12" t="s">
        <v>34</v>
      </c>
      <c r="E321" s="11">
        <v>1135</v>
      </c>
      <c r="F321" s="12">
        <v>120</v>
      </c>
      <c r="G321" s="12">
        <v>7</v>
      </c>
      <c r="H321" s="7">
        <f t="shared" si="19"/>
        <v>7945</v>
      </c>
      <c r="I321" s="7">
        <f t="shared" si="16"/>
        <v>794.5</v>
      </c>
      <c r="J321" s="7">
        <f t="shared" si="17"/>
        <v>7150.5</v>
      </c>
      <c r="K321" s="12">
        <v>5675</v>
      </c>
      <c r="L321" s="12">
        <f t="shared" si="18"/>
        <v>1475.5</v>
      </c>
      <c r="M321" s="13">
        <v>41791</v>
      </c>
      <c r="N321" s="14"/>
      <c r="O321" s="12"/>
      <c r="P321" s="15"/>
    </row>
    <row r="322" spans="1:16" ht="15.75" customHeight="1" x14ac:dyDescent="0.3">
      <c r="A322" s="6" t="s">
        <v>16</v>
      </c>
      <c r="B322" s="6" t="s">
        <v>28</v>
      </c>
      <c r="C322" s="7" t="s">
        <v>30</v>
      </c>
      <c r="D322" s="7" t="s">
        <v>34</v>
      </c>
      <c r="E322" s="6">
        <v>547</v>
      </c>
      <c r="F322" s="7">
        <v>120</v>
      </c>
      <c r="G322" s="7">
        <v>7</v>
      </c>
      <c r="H322" s="7">
        <f t="shared" si="19"/>
        <v>3829</v>
      </c>
      <c r="I322" s="7">
        <f t="shared" si="16"/>
        <v>382.90000000000003</v>
      </c>
      <c r="J322" s="7">
        <f t="shared" si="17"/>
        <v>3446.1</v>
      </c>
      <c r="K322" s="7">
        <v>2735</v>
      </c>
      <c r="L322" s="12">
        <f t="shared" si="18"/>
        <v>711.09999999999991</v>
      </c>
      <c r="M322" s="8">
        <v>41944</v>
      </c>
      <c r="N322" s="9"/>
      <c r="O322" s="7"/>
      <c r="P322" s="10"/>
    </row>
    <row r="323" spans="1:16" ht="15.75" customHeight="1" x14ac:dyDescent="0.3">
      <c r="A323" s="11" t="s">
        <v>16</v>
      </c>
      <c r="B323" s="11" t="s">
        <v>17</v>
      </c>
      <c r="C323" s="12" t="s">
        <v>30</v>
      </c>
      <c r="D323" s="12" t="s">
        <v>34</v>
      </c>
      <c r="E323" s="11">
        <v>1582</v>
      </c>
      <c r="F323" s="12">
        <v>120</v>
      </c>
      <c r="G323" s="12">
        <v>7</v>
      </c>
      <c r="H323" s="7">
        <f t="shared" si="19"/>
        <v>11074</v>
      </c>
      <c r="I323" s="7">
        <f t="shared" ref="I323:I386" si="20">IF(D323="None", 0, IF(D323="Low", H323*0.05, IF(D323="Medium", H323*0.1, IF(D323="High", H323*0.15, 0))))</f>
        <v>1107.4000000000001</v>
      </c>
      <c r="J323" s="7">
        <f t="shared" ref="J323:J386" si="21">H323-I323</f>
        <v>9966.6</v>
      </c>
      <c r="K323" s="12">
        <v>7910</v>
      </c>
      <c r="L323" s="12">
        <f t="shared" si="18"/>
        <v>2056.6000000000004</v>
      </c>
      <c r="M323" s="13">
        <v>41974</v>
      </c>
      <c r="N323" s="14"/>
      <c r="O323" s="12"/>
      <c r="P323" s="15"/>
    </row>
    <row r="324" spans="1:16" ht="15.75" customHeight="1" x14ac:dyDescent="0.3">
      <c r="A324" s="6" t="s">
        <v>25</v>
      </c>
      <c r="B324" s="6" t="s">
        <v>22</v>
      </c>
      <c r="C324" s="7" t="s">
        <v>31</v>
      </c>
      <c r="D324" s="7" t="s">
        <v>34</v>
      </c>
      <c r="E324" s="6">
        <v>1738.5</v>
      </c>
      <c r="F324" s="7">
        <v>250</v>
      </c>
      <c r="G324" s="7">
        <v>12</v>
      </c>
      <c r="H324" s="7">
        <f t="shared" si="19"/>
        <v>20862</v>
      </c>
      <c r="I324" s="7">
        <f t="shared" si="20"/>
        <v>2086.2000000000003</v>
      </c>
      <c r="J324" s="7">
        <f t="shared" si="21"/>
        <v>18775.8</v>
      </c>
      <c r="K324" s="7">
        <v>5215.5</v>
      </c>
      <c r="L324" s="12">
        <f t="shared" ref="L324:L387" si="22">J324-K324</f>
        <v>13560.3</v>
      </c>
      <c r="M324" s="8">
        <v>41730</v>
      </c>
      <c r="N324" s="9"/>
      <c r="O324" s="7"/>
      <c r="P324" s="10"/>
    </row>
    <row r="325" spans="1:16" ht="15.75" customHeight="1" x14ac:dyDescent="0.3">
      <c r="A325" s="11" t="s">
        <v>25</v>
      </c>
      <c r="B325" s="11" t="s">
        <v>20</v>
      </c>
      <c r="C325" s="12" t="s">
        <v>31</v>
      </c>
      <c r="D325" s="12" t="s">
        <v>34</v>
      </c>
      <c r="E325" s="11">
        <v>2215</v>
      </c>
      <c r="F325" s="12">
        <v>250</v>
      </c>
      <c r="G325" s="12">
        <v>12</v>
      </c>
      <c r="H325" s="7">
        <f t="shared" ref="H325:H388" si="23">E325*G325</f>
        <v>26580</v>
      </c>
      <c r="I325" s="7">
        <f t="shared" si="20"/>
        <v>2658</v>
      </c>
      <c r="J325" s="7">
        <f t="shared" si="21"/>
        <v>23922</v>
      </c>
      <c r="K325" s="12">
        <v>6645</v>
      </c>
      <c r="L325" s="12">
        <f t="shared" si="22"/>
        <v>17277</v>
      </c>
      <c r="M325" s="13">
        <v>41518</v>
      </c>
      <c r="N325" s="14"/>
      <c r="O325" s="12"/>
      <c r="P325" s="15"/>
    </row>
    <row r="326" spans="1:16" ht="15.75" customHeight="1" x14ac:dyDescent="0.3">
      <c r="A326" s="6" t="s">
        <v>16</v>
      </c>
      <c r="B326" s="6" t="s">
        <v>17</v>
      </c>
      <c r="C326" s="7" t="s">
        <v>31</v>
      </c>
      <c r="D326" s="7" t="s">
        <v>34</v>
      </c>
      <c r="E326" s="6">
        <v>1582</v>
      </c>
      <c r="F326" s="7">
        <v>250</v>
      </c>
      <c r="G326" s="7">
        <v>7</v>
      </c>
      <c r="H326" s="7">
        <f t="shared" si="23"/>
        <v>11074</v>
      </c>
      <c r="I326" s="7">
        <f t="shared" si="20"/>
        <v>1107.4000000000001</v>
      </c>
      <c r="J326" s="7">
        <f t="shared" si="21"/>
        <v>9966.6</v>
      </c>
      <c r="K326" s="7">
        <v>7910</v>
      </c>
      <c r="L326" s="12">
        <f t="shared" si="22"/>
        <v>2056.6000000000004</v>
      </c>
      <c r="M326" s="8">
        <v>41974</v>
      </c>
      <c r="N326" s="9"/>
      <c r="O326" s="7"/>
      <c r="P326" s="10"/>
    </row>
    <row r="327" spans="1:16" ht="15.75" customHeight="1" x14ac:dyDescent="0.3">
      <c r="A327" s="11" t="s">
        <v>16</v>
      </c>
      <c r="B327" s="11" t="s">
        <v>17</v>
      </c>
      <c r="C327" s="12" t="s">
        <v>32</v>
      </c>
      <c r="D327" s="12" t="s">
        <v>34</v>
      </c>
      <c r="E327" s="11">
        <v>1135</v>
      </c>
      <c r="F327" s="12">
        <v>260</v>
      </c>
      <c r="G327" s="12">
        <v>7</v>
      </c>
      <c r="H327" s="7">
        <f t="shared" si="23"/>
        <v>7945</v>
      </c>
      <c r="I327" s="7">
        <f t="shared" si="20"/>
        <v>794.5</v>
      </c>
      <c r="J327" s="7">
        <f t="shared" si="21"/>
        <v>7150.5</v>
      </c>
      <c r="K327" s="12">
        <v>5675</v>
      </c>
      <c r="L327" s="12">
        <f t="shared" si="22"/>
        <v>1475.5</v>
      </c>
      <c r="M327" s="13">
        <v>41791</v>
      </c>
      <c r="N327" s="14"/>
      <c r="O327" s="12"/>
      <c r="P327" s="15"/>
    </row>
    <row r="328" spans="1:16" ht="15.75" customHeight="1" x14ac:dyDescent="0.3">
      <c r="A328" s="6" t="s">
        <v>16</v>
      </c>
      <c r="B328" s="6" t="s">
        <v>28</v>
      </c>
      <c r="C328" s="7" t="s">
        <v>18</v>
      </c>
      <c r="D328" s="7" t="s">
        <v>34</v>
      </c>
      <c r="E328" s="6">
        <v>1761</v>
      </c>
      <c r="F328" s="7">
        <v>3</v>
      </c>
      <c r="G328" s="7">
        <v>350</v>
      </c>
      <c r="H328" s="7">
        <f t="shared" si="23"/>
        <v>616350</v>
      </c>
      <c r="I328" s="7">
        <f t="shared" si="20"/>
        <v>61635</v>
      </c>
      <c r="J328" s="7">
        <f t="shared" si="21"/>
        <v>554715</v>
      </c>
      <c r="K328" s="7">
        <v>457860</v>
      </c>
      <c r="L328" s="12">
        <f t="shared" si="22"/>
        <v>96855</v>
      </c>
      <c r="M328" s="8">
        <v>41699</v>
      </c>
      <c r="N328" s="9"/>
      <c r="O328" s="7"/>
      <c r="P328" s="10"/>
    </row>
    <row r="329" spans="1:16" ht="15.75" customHeight="1" x14ac:dyDescent="0.3">
      <c r="A329" s="11" t="s">
        <v>27</v>
      </c>
      <c r="B329" s="11" t="s">
        <v>22</v>
      </c>
      <c r="C329" s="12" t="s">
        <v>18</v>
      </c>
      <c r="D329" s="12" t="s">
        <v>34</v>
      </c>
      <c r="E329" s="11">
        <v>448</v>
      </c>
      <c r="F329" s="12">
        <v>3</v>
      </c>
      <c r="G329" s="12">
        <v>300</v>
      </c>
      <c r="H329" s="7">
        <f t="shared" si="23"/>
        <v>134400</v>
      </c>
      <c r="I329" s="7">
        <f t="shared" si="20"/>
        <v>13440</v>
      </c>
      <c r="J329" s="7">
        <f t="shared" si="21"/>
        <v>120960</v>
      </c>
      <c r="K329" s="12">
        <v>112000</v>
      </c>
      <c r="L329" s="12">
        <f t="shared" si="22"/>
        <v>8960</v>
      </c>
      <c r="M329" s="13">
        <v>41791</v>
      </c>
      <c r="N329" s="14"/>
      <c r="O329" s="12"/>
      <c r="P329" s="15"/>
    </row>
    <row r="330" spans="1:16" ht="15.75" customHeight="1" x14ac:dyDescent="0.3">
      <c r="A330" s="6" t="s">
        <v>27</v>
      </c>
      <c r="B330" s="6" t="s">
        <v>22</v>
      </c>
      <c r="C330" s="7" t="s">
        <v>18</v>
      </c>
      <c r="D330" s="7" t="s">
        <v>34</v>
      </c>
      <c r="E330" s="6">
        <v>2181</v>
      </c>
      <c r="F330" s="7">
        <v>3</v>
      </c>
      <c r="G330" s="7">
        <v>300</v>
      </c>
      <c r="H330" s="7">
        <f t="shared" si="23"/>
        <v>654300</v>
      </c>
      <c r="I330" s="7">
        <f t="shared" si="20"/>
        <v>65430</v>
      </c>
      <c r="J330" s="7">
        <f t="shared" si="21"/>
        <v>588870</v>
      </c>
      <c r="K330" s="7">
        <v>545250</v>
      </c>
      <c r="L330" s="12">
        <f t="shared" si="22"/>
        <v>43620</v>
      </c>
      <c r="M330" s="8">
        <v>41913</v>
      </c>
      <c r="N330" s="9"/>
      <c r="O330" s="7"/>
      <c r="P330" s="10"/>
    </row>
    <row r="331" spans="1:16" ht="15.75" customHeight="1" x14ac:dyDescent="0.3">
      <c r="A331" s="11" t="s">
        <v>16</v>
      </c>
      <c r="B331" s="11" t="s">
        <v>22</v>
      </c>
      <c r="C331" s="12" t="s">
        <v>24</v>
      </c>
      <c r="D331" s="12" t="s">
        <v>34</v>
      </c>
      <c r="E331" s="11">
        <v>1976</v>
      </c>
      <c r="F331" s="12">
        <v>5</v>
      </c>
      <c r="G331" s="12">
        <v>20</v>
      </c>
      <c r="H331" s="7">
        <f t="shared" si="23"/>
        <v>39520</v>
      </c>
      <c r="I331" s="7">
        <f t="shared" si="20"/>
        <v>3952</v>
      </c>
      <c r="J331" s="7">
        <f t="shared" si="21"/>
        <v>35568</v>
      </c>
      <c r="K331" s="12">
        <v>19760</v>
      </c>
      <c r="L331" s="12">
        <f t="shared" si="22"/>
        <v>15808</v>
      </c>
      <c r="M331" s="13">
        <v>41913</v>
      </c>
      <c r="N331" s="14"/>
      <c r="O331" s="12"/>
      <c r="P331" s="15"/>
    </row>
    <row r="332" spans="1:16" ht="15.75" customHeight="1" x14ac:dyDescent="0.3">
      <c r="A332" s="6" t="s">
        <v>27</v>
      </c>
      <c r="B332" s="6" t="s">
        <v>22</v>
      </c>
      <c r="C332" s="7" t="s">
        <v>24</v>
      </c>
      <c r="D332" s="7" t="s">
        <v>34</v>
      </c>
      <c r="E332" s="6">
        <v>2181</v>
      </c>
      <c r="F332" s="7">
        <v>5</v>
      </c>
      <c r="G332" s="7">
        <v>300</v>
      </c>
      <c r="H332" s="7">
        <f t="shared" si="23"/>
        <v>654300</v>
      </c>
      <c r="I332" s="7">
        <f t="shared" si="20"/>
        <v>65430</v>
      </c>
      <c r="J332" s="7">
        <f t="shared" si="21"/>
        <v>588870</v>
      </c>
      <c r="K332" s="7">
        <v>545250</v>
      </c>
      <c r="L332" s="12">
        <f t="shared" si="22"/>
        <v>43620</v>
      </c>
      <c r="M332" s="8">
        <v>41913</v>
      </c>
      <c r="N332" s="9"/>
      <c r="O332" s="7"/>
      <c r="P332" s="10"/>
    </row>
    <row r="333" spans="1:16" ht="15.75" customHeight="1" x14ac:dyDescent="0.3">
      <c r="A333" s="11" t="s">
        <v>26</v>
      </c>
      <c r="B333" s="11" t="s">
        <v>20</v>
      </c>
      <c r="C333" s="12" t="s">
        <v>24</v>
      </c>
      <c r="D333" s="12" t="s">
        <v>34</v>
      </c>
      <c r="E333" s="11">
        <v>2500</v>
      </c>
      <c r="F333" s="12">
        <v>5</v>
      </c>
      <c r="G333" s="12">
        <v>125</v>
      </c>
      <c r="H333" s="7">
        <f t="shared" si="23"/>
        <v>312500</v>
      </c>
      <c r="I333" s="7">
        <f t="shared" si="20"/>
        <v>31250</v>
      </c>
      <c r="J333" s="7">
        <f t="shared" si="21"/>
        <v>281250</v>
      </c>
      <c r="K333" s="12">
        <v>300000</v>
      </c>
      <c r="L333" s="12">
        <f t="shared" si="22"/>
        <v>-18750</v>
      </c>
      <c r="M333" s="13">
        <v>41579</v>
      </c>
      <c r="N333" s="14"/>
      <c r="O333" s="12"/>
      <c r="P333" s="15"/>
    </row>
    <row r="334" spans="1:16" ht="15.75" customHeight="1" x14ac:dyDescent="0.3">
      <c r="A334" s="6" t="s">
        <v>27</v>
      </c>
      <c r="B334" s="6" t="s">
        <v>17</v>
      </c>
      <c r="C334" s="7" t="s">
        <v>29</v>
      </c>
      <c r="D334" s="7" t="s">
        <v>34</v>
      </c>
      <c r="E334" s="6">
        <v>1702</v>
      </c>
      <c r="F334" s="7">
        <v>10</v>
      </c>
      <c r="G334" s="7">
        <v>300</v>
      </c>
      <c r="H334" s="7">
        <f t="shared" si="23"/>
        <v>510600</v>
      </c>
      <c r="I334" s="7">
        <f t="shared" si="20"/>
        <v>51060</v>
      </c>
      <c r="J334" s="7">
        <f t="shared" si="21"/>
        <v>459540</v>
      </c>
      <c r="K334" s="7">
        <v>425500</v>
      </c>
      <c r="L334" s="12">
        <f t="shared" si="22"/>
        <v>34040</v>
      </c>
      <c r="M334" s="8">
        <v>41760</v>
      </c>
      <c r="N334" s="9"/>
      <c r="O334" s="7"/>
      <c r="P334" s="10"/>
    </row>
    <row r="335" spans="1:16" ht="15.75" customHeight="1" x14ac:dyDescent="0.3">
      <c r="A335" s="11" t="s">
        <v>27</v>
      </c>
      <c r="B335" s="11" t="s">
        <v>22</v>
      </c>
      <c r="C335" s="12" t="s">
        <v>29</v>
      </c>
      <c r="D335" s="12" t="s">
        <v>34</v>
      </c>
      <c r="E335" s="11">
        <v>448</v>
      </c>
      <c r="F335" s="12">
        <v>10</v>
      </c>
      <c r="G335" s="12">
        <v>300</v>
      </c>
      <c r="H335" s="7">
        <f t="shared" si="23"/>
        <v>134400</v>
      </c>
      <c r="I335" s="7">
        <f t="shared" si="20"/>
        <v>13440</v>
      </c>
      <c r="J335" s="7">
        <f t="shared" si="21"/>
        <v>120960</v>
      </c>
      <c r="K335" s="12">
        <v>112000</v>
      </c>
      <c r="L335" s="12">
        <f t="shared" si="22"/>
        <v>8960</v>
      </c>
      <c r="M335" s="13">
        <v>41791</v>
      </c>
      <c r="N335" s="14"/>
      <c r="O335" s="12"/>
      <c r="P335" s="15"/>
    </row>
    <row r="336" spans="1:16" ht="15.75" customHeight="1" x14ac:dyDescent="0.3">
      <c r="A336" s="6" t="s">
        <v>26</v>
      </c>
      <c r="B336" s="6" t="s">
        <v>20</v>
      </c>
      <c r="C336" s="7" t="s">
        <v>29</v>
      </c>
      <c r="D336" s="7" t="s">
        <v>34</v>
      </c>
      <c r="E336" s="6">
        <v>3513</v>
      </c>
      <c r="F336" s="7">
        <v>10</v>
      </c>
      <c r="G336" s="7">
        <v>125</v>
      </c>
      <c r="H336" s="7">
        <f t="shared" si="23"/>
        <v>439125</v>
      </c>
      <c r="I336" s="7">
        <f t="shared" si="20"/>
        <v>43912.5</v>
      </c>
      <c r="J336" s="7">
        <f t="shared" si="21"/>
        <v>395212.5</v>
      </c>
      <c r="K336" s="7">
        <v>421560</v>
      </c>
      <c r="L336" s="12">
        <f t="shared" si="22"/>
        <v>-26347.5</v>
      </c>
      <c r="M336" s="8">
        <v>41821</v>
      </c>
      <c r="N336" s="9"/>
      <c r="O336" s="7"/>
      <c r="P336" s="10"/>
    </row>
    <row r="337" spans="1:16" ht="15.75" customHeight="1" x14ac:dyDescent="0.3">
      <c r="A337" s="11" t="s">
        <v>21</v>
      </c>
      <c r="B337" s="11" t="s">
        <v>22</v>
      </c>
      <c r="C337" s="12" t="s">
        <v>29</v>
      </c>
      <c r="D337" s="12" t="s">
        <v>34</v>
      </c>
      <c r="E337" s="11">
        <v>2101</v>
      </c>
      <c r="F337" s="12">
        <v>10</v>
      </c>
      <c r="G337" s="12">
        <v>15</v>
      </c>
      <c r="H337" s="7">
        <f t="shared" si="23"/>
        <v>31515</v>
      </c>
      <c r="I337" s="7">
        <f t="shared" si="20"/>
        <v>3151.5</v>
      </c>
      <c r="J337" s="7">
        <f t="shared" si="21"/>
        <v>28363.5</v>
      </c>
      <c r="K337" s="12">
        <v>21010</v>
      </c>
      <c r="L337" s="12">
        <f t="shared" si="22"/>
        <v>7353.5</v>
      </c>
      <c r="M337" s="13">
        <v>41852</v>
      </c>
      <c r="N337" s="14"/>
      <c r="O337" s="12"/>
      <c r="P337" s="15"/>
    </row>
    <row r="338" spans="1:16" ht="15.75" customHeight="1" x14ac:dyDescent="0.3">
      <c r="A338" s="6" t="s">
        <v>21</v>
      </c>
      <c r="B338" s="6" t="s">
        <v>28</v>
      </c>
      <c r="C338" s="7" t="s">
        <v>29</v>
      </c>
      <c r="D338" s="7" t="s">
        <v>34</v>
      </c>
      <c r="E338" s="6">
        <v>2931</v>
      </c>
      <c r="F338" s="7">
        <v>10</v>
      </c>
      <c r="G338" s="7">
        <v>15</v>
      </c>
      <c r="H338" s="7">
        <f t="shared" si="23"/>
        <v>43965</v>
      </c>
      <c r="I338" s="7">
        <f t="shared" si="20"/>
        <v>4396.5</v>
      </c>
      <c r="J338" s="7">
        <f t="shared" si="21"/>
        <v>39568.5</v>
      </c>
      <c r="K338" s="7">
        <v>29310</v>
      </c>
      <c r="L338" s="12">
        <f t="shared" si="22"/>
        <v>10258.5</v>
      </c>
      <c r="M338" s="8">
        <v>41518</v>
      </c>
      <c r="N338" s="9"/>
      <c r="O338" s="7"/>
      <c r="P338" s="10"/>
    </row>
    <row r="339" spans="1:16" ht="15.75" customHeight="1" x14ac:dyDescent="0.3">
      <c r="A339" s="11" t="s">
        <v>16</v>
      </c>
      <c r="B339" s="11" t="s">
        <v>22</v>
      </c>
      <c r="C339" s="12" t="s">
        <v>29</v>
      </c>
      <c r="D339" s="12" t="s">
        <v>34</v>
      </c>
      <c r="E339" s="11">
        <v>1535</v>
      </c>
      <c r="F339" s="12">
        <v>10</v>
      </c>
      <c r="G339" s="12">
        <v>20</v>
      </c>
      <c r="H339" s="7">
        <f t="shared" si="23"/>
        <v>30700</v>
      </c>
      <c r="I339" s="7">
        <f t="shared" si="20"/>
        <v>3070</v>
      </c>
      <c r="J339" s="7">
        <f t="shared" si="21"/>
        <v>27630</v>
      </c>
      <c r="K339" s="12">
        <v>15350</v>
      </c>
      <c r="L339" s="12">
        <f t="shared" si="22"/>
        <v>12280</v>
      </c>
      <c r="M339" s="13">
        <v>41883</v>
      </c>
      <c r="N339" s="14"/>
      <c r="O339" s="12"/>
      <c r="P339" s="15"/>
    </row>
    <row r="340" spans="1:16" ht="15.75" customHeight="1" x14ac:dyDescent="0.3">
      <c r="A340" s="6" t="s">
        <v>27</v>
      </c>
      <c r="B340" s="6" t="s">
        <v>20</v>
      </c>
      <c r="C340" s="7" t="s">
        <v>29</v>
      </c>
      <c r="D340" s="7" t="s">
        <v>34</v>
      </c>
      <c r="E340" s="6">
        <v>1123</v>
      </c>
      <c r="F340" s="7">
        <v>10</v>
      </c>
      <c r="G340" s="7">
        <v>300</v>
      </c>
      <c r="H340" s="7">
        <f t="shared" si="23"/>
        <v>336900</v>
      </c>
      <c r="I340" s="7">
        <f t="shared" si="20"/>
        <v>33690</v>
      </c>
      <c r="J340" s="7">
        <f t="shared" si="21"/>
        <v>303210</v>
      </c>
      <c r="K340" s="7">
        <v>280750</v>
      </c>
      <c r="L340" s="12">
        <f t="shared" si="22"/>
        <v>22460</v>
      </c>
      <c r="M340" s="8">
        <v>41518</v>
      </c>
      <c r="N340" s="9"/>
      <c r="O340" s="7"/>
      <c r="P340" s="10"/>
    </row>
    <row r="341" spans="1:16" ht="15.75" customHeight="1" x14ac:dyDescent="0.3">
      <c r="A341" s="11" t="s">
        <v>27</v>
      </c>
      <c r="B341" s="11" t="s">
        <v>17</v>
      </c>
      <c r="C341" s="12" t="s">
        <v>29</v>
      </c>
      <c r="D341" s="12" t="s">
        <v>34</v>
      </c>
      <c r="E341" s="11">
        <v>1404</v>
      </c>
      <c r="F341" s="12">
        <v>10</v>
      </c>
      <c r="G341" s="12">
        <v>300</v>
      </c>
      <c r="H341" s="7">
        <f t="shared" si="23"/>
        <v>421200</v>
      </c>
      <c r="I341" s="7">
        <f t="shared" si="20"/>
        <v>42120</v>
      </c>
      <c r="J341" s="7">
        <f t="shared" si="21"/>
        <v>379080</v>
      </c>
      <c r="K341" s="12">
        <v>351000</v>
      </c>
      <c r="L341" s="12">
        <f t="shared" si="22"/>
        <v>28080</v>
      </c>
      <c r="M341" s="13">
        <v>41579</v>
      </c>
      <c r="N341" s="14"/>
      <c r="O341" s="12"/>
      <c r="P341" s="15"/>
    </row>
    <row r="342" spans="1:16" ht="15.75" customHeight="1" x14ac:dyDescent="0.3">
      <c r="A342" s="6" t="s">
        <v>25</v>
      </c>
      <c r="B342" s="6" t="s">
        <v>23</v>
      </c>
      <c r="C342" s="7" t="s">
        <v>29</v>
      </c>
      <c r="D342" s="7" t="s">
        <v>34</v>
      </c>
      <c r="E342" s="6">
        <v>2763</v>
      </c>
      <c r="F342" s="7">
        <v>10</v>
      </c>
      <c r="G342" s="7">
        <v>12</v>
      </c>
      <c r="H342" s="7">
        <f t="shared" si="23"/>
        <v>33156</v>
      </c>
      <c r="I342" s="7">
        <f t="shared" si="20"/>
        <v>3315.6000000000004</v>
      </c>
      <c r="J342" s="7">
        <f t="shared" si="21"/>
        <v>29840.400000000001</v>
      </c>
      <c r="K342" s="7">
        <v>8289</v>
      </c>
      <c r="L342" s="12">
        <f t="shared" si="22"/>
        <v>21551.4</v>
      </c>
      <c r="M342" s="8">
        <v>41579</v>
      </c>
      <c r="N342" s="9"/>
      <c r="O342" s="7"/>
      <c r="P342" s="10"/>
    </row>
    <row r="343" spans="1:16" ht="15.75" customHeight="1" x14ac:dyDescent="0.3">
      <c r="A343" s="11" t="s">
        <v>16</v>
      </c>
      <c r="B343" s="11" t="s">
        <v>20</v>
      </c>
      <c r="C343" s="12" t="s">
        <v>29</v>
      </c>
      <c r="D343" s="12" t="s">
        <v>34</v>
      </c>
      <c r="E343" s="11">
        <v>2125</v>
      </c>
      <c r="F343" s="12">
        <v>10</v>
      </c>
      <c r="G343" s="12">
        <v>7</v>
      </c>
      <c r="H343" s="7">
        <f t="shared" si="23"/>
        <v>14875</v>
      </c>
      <c r="I343" s="7">
        <f t="shared" si="20"/>
        <v>1487.5</v>
      </c>
      <c r="J343" s="7">
        <f t="shared" si="21"/>
        <v>13387.5</v>
      </c>
      <c r="K343" s="12">
        <v>10625</v>
      </c>
      <c r="L343" s="12">
        <f t="shared" si="22"/>
        <v>2762.5</v>
      </c>
      <c r="M343" s="13">
        <v>41609</v>
      </c>
      <c r="N343" s="14"/>
      <c r="O343" s="12"/>
      <c r="P343" s="15"/>
    </row>
    <row r="344" spans="1:16" ht="15.75" customHeight="1" x14ac:dyDescent="0.3">
      <c r="A344" s="6" t="s">
        <v>27</v>
      </c>
      <c r="B344" s="6" t="s">
        <v>22</v>
      </c>
      <c r="C344" s="7" t="s">
        <v>30</v>
      </c>
      <c r="D344" s="7" t="s">
        <v>34</v>
      </c>
      <c r="E344" s="6">
        <v>1659</v>
      </c>
      <c r="F344" s="7">
        <v>120</v>
      </c>
      <c r="G344" s="7">
        <v>300</v>
      </c>
      <c r="H344" s="7">
        <f t="shared" si="23"/>
        <v>497700</v>
      </c>
      <c r="I344" s="7">
        <f t="shared" si="20"/>
        <v>49770</v>
      </c>
      <c r="J344" s="7">
        <f t="shared" si="21"/>
        <v>447930</v>
      </c>
      <c r="K344" s="7">
        <v>414750</v>
      </c>
      <c r="L344" s="12">
        <f t="shared" si="22"/>
        <v>33180</v>
      </c>
      <c r="M344" s="8">
        <v>41821</v>
      </c>
      <c r="N344" s="9"/>
      <c r="O344" s="7"/>
      <c r="P344" s="10"/>
    </row>
    <row r="345" spans="1:16" ht="15.75" customHeight="1" x14ac:dyDescent="0.3">
      <c r="A345" s="11" t="s">
        <v>16</v>
      </c>
      <c r="B345" s="11" t="s">
        <v>23</v>
      </c>
      <c r="C345" s="12" t="s">
        <v>30</v>
      </c>
      <c r="D345" s="12" t="s">
        <v>34</v>
      </c>
      <c r="E345" s="11">
        <v>609</v>
      </c>
      <c r="F345" s="12">
        <v>120</v>
      </c>
      <c r="G345" s="12">
        <v>20</v>
      </c>
      <c r="H345" s="7">
        <f t="shared" si="23"/>
        <v>12180</v>
      </c>
      <c r="I345" s="7">
        <f t="shared" si="20"/>
        <v>1218</v>
      </c>
      <c r="J345" s="7">
        <f t="shared" si="21"/>
        <v>10962</v>
      </c>
      <c r="K345" s="12">
        <v>6090</v>
      </c>
      <c r="L345" s="12">
        <f t="shared" si="22"/>
        <v>4872</v>
      </c>
      <c r="M345" s="13">
        <v>41852</v>
      </c>
      <c r="N345" s="14"/>
      <c r="O345" s="12"/>
      <c r="P345" s="15"/>
    </row>
    <row r="346" spans="1:16" ht="15.75" customHeight="1" x14ac:dyDescent="0.3">
      <c r="A346" s="6" t="s">
        <v>26</v>
      </c>
      <c r="B346" s="6" t="s">
        <v>20</v>
      </c>
      <c r="C346" s="7" t="s">
        <v>30</v>
      </c>
      <c r="D346" s="7" t="s">
        <v>34</v>
      </c>
      <c r="E346" s="6">
        <v>2087</v>
      </c>
      <c r="F346" s="7">
        <v>120</v>
      </c>
      <c r="G346" s="7">
        <v>125</v>
      </c>
      <c r="H346" s="7">
        <f t="shared" si="23"/>
        <v>260875</v>
      </c>
      <c r="I346" s="7">
        <f t="shared" si="20"/>
        <v>26087.5</v>
      </c>
      <c r="J346" s="7">
        <f t="shared" si="21"/>
        <v>234787.5</v>
      </c>
      <c r="K346" s="7">
        <v>250440</v>
      </c>
      <c r="L346" s="12">
        <f t="shared" si="22"/>
        <v>-15652.5</v>
      </c>
      <c r="M346" s="8">
        <v>41883</v>
      </c>
      <c r="N346" s="9"/>
      <c r="O346" s="7"/>
      <c r="P346" s="10"/>
    </row>
    <row r="347" spans="1:16" ht="15.75" customHeight="1" x14ac:dyDescent="0.3">
      <c r="A347" s="11" t="s">
        <v>16</v>
      </c>
      <c r="B347" s="11" t="s">
        <v>22</v>
      </c>
      <c r="C347" s="12" t="s">
        <v>30</v>
      </c>
      <c r="D347" s="12" t="s">
        <v>34</v>
      </c>
      <c r="E347" s="11">
        <v>1976</v>
      </c>
      <c r="F347" s="12">
        <v>120</v>
      </c>
      <c r="G347" s="12">
        <v>20</v>
      </c>
      <c r="H347" s="7">
        <f t="shared" si="23"/>
        <v>39520</v>
      </c>
      <c r="I347" s="7">
        <f t="shared" si="20"/>
        <v>3952</v>
      </c>
      <c r="J347" s="7">
        <f t="shared" si="21"/>
        <v>35568</v>
      </c>
      <c r="K347" s="12">
        <v>19760</v>
      </c>
      <c r="L347" s="12">
        <f t="shared" si="22"/>
        <v>15808</v>
      </c>
      <c r="M347" s="13">
        <v>41913</v>
      </c>
      <c r="N347" s="14"/>
      <c r="O347" s="12"/>
      <c r="P347" s="15"/>
    </row>
    <row r="348" spans="1:16" ht="15.75" customHeight="1" x14ac:dyDescent="0.3">
      <c r="A348" s="6" t="s">
        <v>16</v>
      </c>
      <c r="B348" s="6" t="s">
        <v>28</v>
      </c>
      <c r="C348" s="7" t="s">
        <v>30</v>
      </c>
      <c r="D348" s="7" t="s">
        <v>34</v>
      </c>
      <c r="E348" s="6">
        <v>1421</v>
      </c>
      <c r="F348" s="7">
        <v>120</v>
      </c>
      <c r="G348" s="7">
        <v>20</v>
      </c>
      <c r="H348" s="7">
        <f t="shared" si="23"/>
        <v>28420</v>
      </c>
      <c r="I348" s="7">
        <f t="shared" si="20"/>
        <v>2842</v>
      </c>
      <c r="J348" s="7">
        <f t="shared" si="21"/>
        <v>25578</v>
      </c>
      <c r="K348" s="7">
        <v>14210</v>
      </c>
      <c r="L348" s="12">
        <f t="shared" si="22"/>
        <v>11368</v>
      </c>
      <c r="M348" s="8">
        <v>41609</v>
      </c>
      <c r="N348" s="9"/>
      <c r="O348" s="7"/>
      <c r="P348" s="10"/>
    </row>
    <row r="349" spans="1:16" ht="15.75" customHeight="1" x14ac:dyDescent="0.3">
      <c r="A349" s="11" t="s">
        <v>27</v>
      </c>
      <c r="B349" s="11" t="s">
        <v>28</v>
      </c>
      <c r="C349" s="12" t="s">
        <v>30</v>
      </c>
      <c r="D349" s="12" t="s">
        <v>34</v>
      </c>
      <c r="E349" s="11">
        <v>1372</v>
      </c>
      <c r="F349" s="12">
        <v>120</v>
      </c>
      <c r="G349" s="12">
        <v>300</v>
      </c>
      <c r="H349" s="7">
        <f t="shared" si="23"/>
        <v>411600</v>
      </c>
      <c r="I349" s="7">
        <f t="shared" si="20"/>
        <v>41160</v>
      </c>
      <c r="J349" s="7">
        <f t="shared" si="21"/>
        <v>370440</v>
      </c>
      <c r="K349" s="12">
        <v>343000</v>
      </c>
      <c r="L349" s="12">
        <f t="shared" si="22"/>
        <v>27440</v>
      </c>
      <c r="M349" s="13">
        <v>41974</v>
      </c>
      <c r="N349" s="14"/>
      <c r="O349" s="12"/>
      <c r="P349" s="15"/>
    </row>
    <row r="350" spans="1:16" ht="15.75" customHeight="1" x14ac:dyDescent="0.3">
      <c r="A350" s="6" t="s">
        <v>16</v>
      </c>
      <c r="B350" s="6" t="s">
        <v>20</v>
      </c>
      <c r="C350" s="7" t="s">
        <v>30</v>
      </c>
      <c r="D350" s="7" t="s">
        <v>34</v>
      </c>
      <c r="E350" s="6">
        <v>588</v>
      </c>
      <c r="F350" s="7">
        <v>120</v>
      </c>
      <c r="G350" s="7">
        <v>20</v>
      </c>
      <c r="H350" s="7">
        <f t="shared" si="23"/>
        <v>11760</v>
      </c>
      <c r="I350" s="7">
        <f t="shared" si="20"/>
        <v>1176</v>
      </c>
      <c r="J350" s="7">
        <f t="shared" si="21"/>
        <v>10584</v>
      </c>
      <c r="K350" s="7">
        <v>5880</v>
      </c>
      <c r="L350" s="12">
        <f t="shared" si="22"/>
        <v>4704</v>
      </c>
      <c r="M350" s="8">
        <v>41609</v>
      </c>
      <c r="N350" s="9"/>
      <c r="O350" s="7"/>
      <c r="P350" s="10"/>
    </row>
    <row r="351" spans="1:16" ht="15.75" customHeight="1" x14ac:dyDescent="0.3">
      <c r="A351" s="11" t="s">
        <v>25</v>
      </c>
      <c r="B351" s="11" t="s">
        <v>17</v>
      </c>
      <c r="C351" s="12" t="s">
        <v>31</v>
      </c>
      <c r="D351" s="12" t="s">
        <v>34</v>
      </c>
      <c r="E351" s="11">
        <v>3244.5</v>
      </c>
      <c r="F351" s="12">
        <v>250</v>
      </c>
      <c r="G351" s="12">
        <v>12</v>
      </c>
      <c r="H351" s="7">
        <f t="shared" si="23"/>
        <v>38934</v>
      </c>
      <c r="I351" s="7">
        <f t="shared" si="20"/>
        <v>3893.4</v>
      </c>
      <c r="J351" s="7">
        <f t="shared" si="21"/>
        <v>35040.6</v>
      </c>
      <c r="K351" s="12">
        <v>9733.5</v>
      </c>
      <c r="L351" s="12">
        <f t="shared" si="22"/>
        <v>25307.1</v>
      </c>
      <c r="M351" s="13">
        <v>41640</v>
      </c>
      <c r="N351" s="14"/>
      <c r="O351" s="12"/>
      <c r="P351" s="15"/>
    </row>
    <row r="352" spans="1:16" ht="15.75" customHeight="1" x14ac:dyDescent="0.3">
      <c r="A352" s="6" t="s">
        <v>27</v>
      </c>
      <c r="B352" s="6" t="s">
        <v>22</v>
      </c>
      <c r="C352" s="7" t="s">
        <v>31</v>
      </c>
      <c r="D352" s="7" t="s">
        <v>34</v>
      </c>
      <c r="E352" s="6">
        <v>959</v>
      </c>
      <c r="F352" s="7">
        <v>250</v>
      </c>
      <c r="G352" s="7">
        <v>300</v>
      </c>
      <c r="H352" s="7">
        <f t="shared" si="23"/>
        <v>287700</v>
      </c>
      <c r="I352" s="7">
        <f t="shared" si="20"/>
        <v>28770</v>
      </c>
      <c r="J352" s="7">
        <f t="shared" si="21"/>
        <v>258930</v>
      </c>
      <c r="K352" s="7">
        <v>239750</v>
      </c>
      <c r="L352" s="12">
        <f t="shared" si="22"/>
        <v>19180</v>
      </c>
      <c r="M352" s="8">
        <v>41671</v>
      </c>
      <c r="N352" s="9"/>
      <c r="O352" s="7"/>
      <c r="P352" s="10"/>
    </row>
    <row r="353" spans="1:16" ht="15.75" customHeight="1" x14ac:dyDescent="0.3">
      <c r="A353" s="11" t="s">
        <v>27</v>
      </c>
      <c r="B353" s="11" t="s">
        <v>23</v>
      </c>
      <c r="C353" s="12" t="s">
        <v>31</v>
      </c>
      <c r="D353" s="12" t="s">
        <v>34</v>
      </c>
      <c r="E353" s="11">
        <v>2747</v>
      </c>
      <c r="F353" s="12">
        <v>250</v>
      </c>
      <c r="G353" s="12">
        <v>300</v>
      </c>
      <c r="H353" s="7">
        <f t="shared" si="23"/>
        <v>824100</v>
      </c>
      <c r="I353" s="7">
        <f t="shared" si="20"/>
        <v>82410</v>
      </c>
      <c r="J353" s="7">
        <f t="shared" si="21"/>
        <v>741690</v>
      </c>
      <c r="K353" s="12">
        <v>686750</v>
      </c>
      <c r="L353" s="12">
        <f t="shared" si="22"/>
        <v>54940</v>
      </c>
      <c r="M353" s="13">
        <v>41671</v>
      </c>
      <c r="N353" s="14"/>
      <c r="O353" s="12"/>
      <c r="P353" s="15"/>
    </row>
    <row r="354" spans="1:16" ht="15.75" customHeight="1" x14ac:dyDescent="0.3">
      <c r="A354" s="6" t="s">
        <v>26</v>
      </c>
      <c r="B354" s="6" t="s">
        <v>17</v>
      </c>
      <c r="C354" s="7" t="s">
        <v>32</v>
      </c>
      <c r="D354" s="7" t="s">
        <v>34</v>
      </c>
      <c r="E354" s="6">
        <v>1645</v>
      </c>
      <c r="F354" s="7">
        <v>260</v>
      </c>
      <c r="G354" s="7">
        <v>125</v>
      </c>
      <c r="H354" s="7">
        <f t="shared" si="23"/>
        <v>205625</v>
      </c>
      <c r="I354" s="7">
        <f t="shared" si="20"/>
        <v>20562.5</v>
      </c>
      <c r="J354" s="7">
        <f t="shared" si="21"/>
        <v>185062.5</v>
      </c>
      <c r="K354" s="7">
        <v>197400</v>
      </c>
      <c r="L354" s="12">
        <f t="shared" si="22"/>
        <v>-12337.5</v>
      </c>
      <c r="M354" s="8">
        <v>41760</v>
      </c>
      <c r="N354" s="9"/>
      <c r="O354" s="7"/>
      <c r="P354" s="10"/>
    </row>
    <row r="355" spans="1:16" ht="15.75" customHeight="1" x14ac:dyDescent="0.3">
      <c r="A355" s="11" t="s">
        <v>16</v>
      </c>
      <c r="B355" s="11" t="s">
        <v>22</v>
      </c>
      <c r="C355" s="12" t="s">
        <v>32</v>
      </c>
      <c r="D355" s="12" t="s">
        <v>34</v>
      </c>
      <c r="E355" s="11">
        <v>2876</v>
      </c>
      <c r="F355" s="12">
        <v>260</v>
      </c>
      <c r="G355" s="12">
        <v>350</v>
      </c>
      <c r="H355" s="7">
        <f t="shared" si="23"/>
        <v>1006600</v>
      </c>
      <c r="I355" s="7">
        <f t="shared" si="20"/>
        <v>100660</v>
      </c>
      <c r="J355" s="7">
        <f t="shared" si="21"/>
        <v>905940</v>
      </c>
      <c r="K355" s="12">
        <v>747760</v>
      </c>
      <c r="L355" s="12">
        <f t="shared" si="22"/>
        <v>158180</v>
      </c>
      <c r="M355" s="13">
        <v>41883</v>
      </c>
      <c r="N355" s="14"/>
      <c r="O355" s="12"/>
      <c r="P355" s="15"/>
    </row>
    <row r="356" spans="1:16" ht="15.75" customHeight="1" x14ac:dyDescent="0.3">
      <c r="A356" s="6" t="s">
        <v>26</v>
      </c>
      <c r="B356" s="6" t="s">
        <v>20</v>
      </c>
      <c r="C356" s="7" t="s">
        <v>32</v>
      </c>
      <c r="D356" s="7" t="s">
        <v>34</v>
      </c>
      <c r="E356" s="6">
        <v>994</v>
      </c>
      <c r="F356" s="7">
        <v>260</v>
      </c>
      <c r="G356" s="7">
        <v>125</v>
      </c>
      <c r="H356" s="7">
        <f t="shared" si="23"/>
        <v>124250</v>
      </c>
      <c r="I356" s="7">
        <f t="shared" si="20"/>
        <v>12425</v>
      </c>
      <c r="J356" s="7">
        <f t="shared" si="21"/>
        <v>111825</v>
      </c>
      <c r="K356" s="7">
        <v>119280</v>
      </c>
      <c r="L356" s="12">
        <f t="shared" si="22"/>
        <v>-7455</v>
      </c>
      <c r="M356" s="8">
        <v>41518</v>
      </c>
      <c r="N356" s="9"/>
      <c r="O356" s="7"/>
      <c r="P356" s="10"/>
    </row>
    <row r="357" spans="1:16" ht="15.75" customHeight="1" x14ac:dyDescent="0.3">
      <c r="A357" s="11" t="s">
        <v>16</v>
      </c>
      <c r="B357" s="11" t="s">
        <v>17</v>
      </c>
      <c r="C357" s="12" t="s">
        <v>32</v>
      </c>
      <c r="D357" s="12" t="s">
        <v>34</v>
      </c>
      <c r="E357" s="11">
        <v>1118</v>
      </c>
      <c r="F357" s="12">
        <v>260</v>
      </c>
      <c r="G357" s="12">
        <v>20</v>
      </c>
      <c r="H357" s="7">
        <f t="shared" si="23"/>
        <v>22360</v>
      </c>
      <c r="I357" s="7">
        <f t="shared" si="20"/>
        <v>2236</v>
      </c>
      <c r="J357" s="7">
        <f t="shared" si="21"/>
        <v>20124</v>
      </c>
      <c r="K357" s="12">
        <v>11180</v>
      </c>
      <c r="L357" s="12">
        <f t="shared" si="22"/>
        <v>8944</v>
      </c>
      <c r="M357" s="13">
        <v>41944</v>
      </c>
      <c r="N357" s="14"/>
      <c r="O357" s="12"/>
      <c r="P357" s="15"/>
    </row>
    <row r="358" spans="1:16" ht="15.75" customHeight="1" x14ac:dyDescent="0.3">
      <c r="A358" s="6" t="s">
        <v>27</v>
      </c>
      <c r="B358" s="6" t="s">
        <v>28</v>
      </c>
      <c r="C358" s="7" t="s">
        <v>32</v>
      </c>
      <c r="D358" s="7" t="s">
        <v>34</v>
      </c>
      <c r="E358" s="6">
        <v>1372</v>
      </c>
      <c r="F358" s="7">
        <v>260</v>
      </c>
      <c r="G358" s="7">
        <v>300</v>
      </c>
      <c r="H358" s="7">
        <f t="shared" si="23"/>
        <v>411600</v>
      </c>
      <c r="I358" s="7">
        <f t="shared" si="20"/>
        <v>41160</v>
      </c>
      <c r="J358" s="7">
        <f t="shared" si="21"/>
        <v>370440</v>
      </c>
      <c r="K358" s="7">
        <v>343000</v>
      </c>
      <c r="L358" s="12">
        <f t="shared" si="22"/>
        <v>27440</v>
      </c>
      <c r="M358" s="8">
        <v>41974</v>
      </c>
      <c r="N358" s="9"/>
      <c r="O358" s="7"/>
      <c r="P358" s="10"/>
    </row>
    <row r="359" spans="1:16" ht="15.75" customHeight="1" x14ac:dyDescent="0.3">
      <c r="A359" s="11" t="s">
        <v>16</v>
      </c>
      <c r="B359" s="11" t="s">
        <v>17</v>
      </c>
      <c r="C359" s="12" t="s">
        <v>24</v>
      </c>
      <c r="D359" s="12" t="s">
        <v>34</v>
      </c>
      <c r="E359" s="11">
        <v>488</v>
      </c>
      <c r="F359" s="12">
        <v>5</v>
      </c>
      <c r="G359" s="12">
        <v>7</v>
      </c>
      <c r="H359" s="7">
        <f t="shared" si="23"/>
        <v>3416</v>
      </c>
      <c r="I359" s="7">
        <f t="shared" si="20"/>
        <v>341.6</v>
      </c>
      <c r="J359" s="7">
        <f t="shared" si="21"/>
        <v>3074.4</v>
      </c>
      <c r="K359" s="12">
        <v>2440</v>
      </c>
      <c r="L359" s="12">
        <f t="shared" si="22"/>
        <v>634.40000000000009</v>
      </c>
      <c r="M359" s="13">
        <v>41671</v>
      </c>
      <c r="N359" s="14"/>
      <c r="O359" s="12"/>
      <c r="P359" s="15"/>
    </row>
    <row r="360" spans="1:16" ht="15.75" customHeight="1" x14ac:dyDescent="0.3">
      <c r="A360" s="6" t="s">
        <v>16</v>
      </c>
      <c r="B360" s="6" t="s">
        <v>28</v>
      </c>
      <c r="C360" s="7" t="s">
        <v>24</v>
      </c>
      <c r="D360" s="7" t="s">
        <v>34</v>
      </c>
      <c r="E360" s="6">
        <v>1282</v>
      </c>
      <c r="F360" s="7">
        <v>5</v>
      </c>
      <c r="G360" s="7">
        <v>20</v>
      </c>
      <c r="H360" s="7">
        <f t="shared" si="23"/>
        <v>25640</v>
      </c>
      <c r="I360" s="7">
        <f t="shared" si="20"/>
        <v>2564</v>
      </c>
      <c r="J360" s="7">
        <f t="shared" si="21"/>
        <v>23076</v>
      </c>
      <c r="K360" s="7">
        <v>12820</v>
      </c>
      <c r="L360" s="12">
        <f t="shared" si="22"/>
        <v>10256</v>
      </c>
      <c r="M360" s="8">
        <v>41791</v>
      </c>
      <c r="N360" s="9"/>
      <c r="O360" s="7"/>
      <c r="P360" s="10"/>
    </row>
    <row r="361" spans="1:16" ht="15.75" customHeight="1" x14ac:dyDescent="0.3">
      <c r="A361" s="11" t="s">
        <v>16</v>
      </c>
      <c r="B361" s="11" t="s">
        <v>17</v>
      </c>
      <c r="C361" s="12" t="s">
        <v>29</v>
      </c>
      <c r="D361" s="12" t="s">
        <v>34</v>
      </c>
      <c r="E361" s="11">
        <v>257</v>
      </c>
      <c r="F361" s="12">
        <v>10</v>
      </c>
      <c r="G361" s="12">
        <v>7</v>
      </c>
      <c r="H361" s="7">
        <f t="shared" si="23"/>
        <v>1799</v>
      </c>
      <c r="I361" s="7">
        <f t="shared" si="20"/>
        <v>179.9</v>
      </c>
      <c r="J361" s="7">
        <f t="shared" si="21"/>
        <v>1619.1</v>
      </c>
      <c r="K361" s="12">
        <v>1285</v>
      </c>
      <c r="L361" s="12">
        <f t="shared" si="22"/>
        <v>334.09999999999991</v>
      </c>
      <c r="M361" s="13">
        <v>41760</v>
      </c>
      <c r="N361" s="14"/>
      <c r="O361" s="12"/>
      <c r="P361" s="15"/>
    </row>
    <row r="362" spans="1:16" ht="15.75" customHeight="1" x14ac:dyDescent="0.3">
      <c r="A362" s="6" t="s">
        <v>16</v>
      </c>
      <c r="B362" s="6" t="s">
        <v>28</v>
      </c>
      <c r="C362" s="7" t="s">
        <v>32</v>
      </c>
      <c r="D362" s="7" t="s">
        <v>34</v>
      </c>
      <c r="E362" s="6">
        <v>1282</v>
      </c>
      <c r="F362" s="7">
        <v>260</v>
      </c>
      <c r="G362" s="7">
        <v>20</v>
      </c>
      <c r="H362" s="7">
        <f t="shared" si="23"/>
        <v>25640</v>
      </c>
      <c r="I362" s="7">
        <f t="shared" si="20"/>
        <v>2564</v>
      </c>
      <c r="J362" s="7">
        <f t="shared" si="21"/>
        <v>23076</v>
      </c>
      <c r="K362" s="7">
        <v>12820</v>
      </c>
      <c r="L362" s="12">
        <f t="shared" si="22"/>
        <v>10256</v>
      </c>
      <c r="M362" s="8">
        <v>41791</v>
      </c>
      <c r="N362" s="9"/>
      <c r="O362" s="7"/>
      <c r="P362" s="10"/>
    </row>
    <row r="363" spans="1:16" ht="15.75" customHeight="1" x14ac:dyDescent="0.3">
      <c r="A363" s="11" t="s">
        <v>26</v>
      </c>
      <c r="B363" s="11" t="s">
        <v>23</v>
      </c>
      <c r="C363" s="12" t="s">
        <v>18</v>
      </c>
      <c r="D363" s="12" t="s">
        <v>34</v>
      </c>
      <c r="E363" s="11">
        <v>1540</v>
      </c>
      <c r="F363" s="12">
        <v>3</v>
      </c>
      <c r="G363" s="12">
        <v>125</v>
      </c>
      <c r="H363" s="7">
        <f t="shared" si="23"/>
        <v>192500</v>
      </c>
      <c r="I363" s="7">
        <f t="shared" si="20"/>
        <v>19250</v>
      </c>
      <c r="J363" s="7">
        <f t="shared" si="21"/>
        <v>173250</v>
      </c>
      <c r="K363" s="12">
        <v>184800</v>
      </c>
      <c r="L363" s="12">
        <f t="shared" si="22"/>
        <v>-11550</v>
      </c>
      <c r="M363" s="13">
        <v>41852</v>
      </c>
      <c r="N363" s="14"/>
      <c r="O363" s="12"/>
      <c r="P363" s="15"/>
    </row>
    <row r="364" spans="1:16" ht="15.75" customHeight="1" x14ac:dyDescent="0.3">
      <c r="A364" s="6" t="s">
        <v>21</v>
      </c>
      <c r="B364" s="6" t="s">
        <v>22</v>
      </c>
      <c r="C364" s="7" t="s">
        <v>18</v>
      </c>
      <c r="D364" s="7" t="s">
        <v>34</v>
      </c>
      <c r="E364" s="6">
        <v>490</v>
      </c>
      <c r="F364" s="7">
        <v>3</v>
      </c>
      <c r="G364" s="7">
        <v>15</v>
      </c>
      <c r="H364" s="7">
        <f t="shared" si="23"/>
        <v>7350</v>
      </c>
      <c r="I364" s="7">
        <f t="shared" si="20"/>
        <v>735</v>
      </c>
      <c r="J364" s="7">
        <f t="shared" si="21"/>
        <v>6615</v>
      </c>
      <c r="K364" s="7">
        <v>4900</v>
      </c>
      <c r="L364" s="12">
        <f t="shared" si="22"/>
        <v>1715</v>
      </c>
      <c r="M364" s="8">
        <v>41944</v>
      </c>
      <c r="N364" s="9"/>
      <c r="O364" s="7"/>
      <c r="P364" s="10"/>
    </row>
    <row r="365" spans="1:16" ht="15.75" customHeight="1" x14ac:dyDescent="0.3">
      <c r="A365" s="11" t="s">
        <v>16</v>
      </c>
      <c r="B365" s="11" t="s">
        <v>23</v>
      </c>
      <c r="C365" s="12" t="s">
        <v>18</v>
      </c>
      <c r="D365" s="12" t="s">
        <v>34</v>
      </c>
      <c r="E365" s="11">
        <v>1362</v>
      </c>
      <c r="F365" s="12">
        <v>3</v>
      </c>
      <c r="G365" s="12">
        <v>350</v>
      </c>
      <c r="H365" s="7">
        <f t="shared" si="23"/>
        <v>476700</v>
      </c>
      <c r="I365" s="7">
        <f t="shared" si="20"/>
        <v>47670</v>
      </c>
      <c r="J365" s="7">
        <f t="shared" si="21"/>
        <v>429030</v>
      </c>
      <c r="K365" s="12">
        <v>354120</v>
      </c>
      <c r="L365" s="12">
        <f t="shared" si="22"/>
        <v>74910</v>
      </c>
      <c r="M365" s="13">
        <v>41974</v>
      </c>
      <c r="N365" s="14"/>
      <c r="O365" s="12"/>
      <c r="P365" s="15"/>
    </row>
    <row r="366" spans="1:16" ht="15.75" customHeight="1" x14ac:dyDescent="0.3">
      <c r="A366" s="6" t="s">
        <v>21</v>
      </c>
      <c r="B366" s="6" t="s">
        <v>22</v>
      </c>
      <c r="C366" s="7" t="s">
        <v>24</v>
      </c>
      <c r="D366" s="7" t="s">
        <v>34</v>
      </c>
      <c r="E366" s="6">
        <v>2501</v>
      </c>
      <c r="F366" s="7">
        <v>5</v>
      </c>
      <c r="G366" s="7">
        <v>15</v>
      </c>
      <c r="H366" s="7">
        <f t="shared" si="23"/>
        <v>37515</v>
      </c>
      <c r="I366" s="7">
        <f t="shared" si="20"/>
        <v>3751.5</v>
      </c>
      <c r="J366" s="7">
        <f t="shared" si="21"/>
        <v>33763.5</v>
      </c>
      <c r="K366" s="7">
        <v>25010</v>
      </c>
      <c r="L366" s="12">
        <f t="shared" si="22"/>
        <v>8753.5</v>
      </c>
      <c r="M366" s="8">
        <v>41699</v>
      </c>
      <c r="N366" s="9"/>
      <c r="O366" s="7"/>
      <c r="P366" s="10"/>
    </row>
    <row r="367" spans="1:16" ht="15.75" customHeight="1" x14ac:dyDescent="0.3">
      <c r="A367" s="11" t="s">
        <v>16</v>
      </c>
      <c r="B367" s="11" t="s">
        <v>17</v>
      </c>
      <c r="C367" s="12" t="s">
        <v>24</v>
      </c>
      <c r="D367" s="12" t="s">
        <v>34</v>
      </c>
      <c r="E367" s="11">
        <v>708</v>
      </c>
      <c r="F367" s="12">
        <v>5</v>
      </c>
      <c r="G367" s="12">
        <v>20</v>
      </c>
      <c r="H367" s="7">
        <f t="shared" si="23"/>
        <v>14160</v>
      </c>
      <c r="I367" s="7">
        <f t="shared" si="20"/>
        <v>1416</v>
      </c>
      <c r="J367" s="7">
        <f t="shared" si="21"/>
        <v>12744</v>
      </c>
      <c r="K367" s="12">
        <v>7080</v>
      </c>
      <c r="L367" s="12">
        <f t="shared" si="22"/>
        <v>5664</v>
      </c>
      <c r="M367" s="13">
        <v>41791</v>
      </c>
      <c r="N367" s="14"/>
      <c r="O367" s="12"/>
      <c r="P367" s="15"/>
    </row>
    <row r="368" spans="1:16" ht="15.75" customHeight="1" x14ac:dyDescent="0.3">
      <c r="A368" s="6" t="s">
        <v>16</v>
      </c>
      <c r="B368" s="6" t="s">
        <v>20</v>
      </c>
      <c r="C368" s="7" t="s">
        <v>24</v>
      </c>
      <c r="D368" s="7" t="s">
        <v>34</v>
      </c>
      <c r="E368" s="6">
        <v>645</v>
      </c>
      <c r="F368" s="7">
        <v>5</v>
      </c>
      <c r="G368" s="7">
        <v>20</v>
      </c>
      <c r="H368" s="7">
        <f t="shared" si="23"/>
        <v>12900</v>
      </c>
      <c r="I368" s="7">
        <f t="shared" si="20"/>
        <v>1290</v>
      </c>
      <c r="J368" s="7">
        <f t="shared" si="21"/>
        <v>11610</v>
      </c>
      <c r="K368" s="7">
        <v>6450</v>
      </c>
      <c r="L368" s="12">
        <f t="shared" si="22"/>
        <v>5160</v>
      </c>
      <c r="M368" s="8">
        <v>41821</v>
      </c>
      <c r="N368" s="9"/>
      <c r="O368" s="7"/>
      <c r="P368" s="10"/>
    </row>
    <row r="369" spans="1:16" ht="15.75" customHeight="1" x14ac:dyDescent="0.3">
      <c r="A369" s="11" t="s">
        <v>27</v>
      </c>
      <c r="B369" s="11" t="s">
        <v>22</v>
      </c>
      <c r="C369" s="12" t="s">
        <v>24</v>
      </c>
      <c r="D369" s="12" t="s">
        <v>34</v>
      </c>
      <c r="E369" s="11">
        <v>1562</v>
      </c>
      <c r="F369" s="12">
        <v>5</v>
      </c>
      <c r="G369" s="12">
        <v>300</v>
      </c>
      <c r="H369" s="7">
        <f t="shared" si="23"/>
        <v>468600</v>
      </c>
      <c r="I369" s="7">
        <f t="shared" si="20"/>
        <v>46860</v>
      </c>
      <c r="J369" s="7">
        <f t="shared" si="21"/>
        <v>421740</v>
      </c>
      <c r="K369" s="12">
        <v>390500</v>
      </c>
      <c r="L369" s="12">
        <f t="shared" si="22"/>
        <v>31240</v>
      </c>
      <c r="M369" s="13">
        <v>41852</v>
      </c>
      <c r="N369" s="14"/>
      <c r="O369" s="12"/>
      <c r="P369" s="15"/>
    </row>
    <row r="370" spans="1:16" ht="15.75" customHeight="1" x14ac:dyDescent="0.3">
      <c r="A370" s="6" t="s">
        <v>27</v>
      </c>
      <c r="B370" s="6" t="s">
        <v>17</v>
      </c>
      <c r="C370" s="7" t="s">
        <v>24</v>
      </c>
      <c r="D370" s="7" t="s">
        <v>34</v>
      </c>
      <c r="E370" s="6">
        <v>1283</v>
      </c>
      <c r="F370" s="7">
        <v>5</v>
      </c>
      <c r="G370" s="7">
        <v>300</v>
      </c>
      <c r="H370" s="7">
        <f t="shared" si="23"/>
        <v>384900</v>
      </c>
      <c r="I370" s="7">
        <f t="shared" si="20"/>
        <v>38490</v>
      </c>
      <c r="J370" s="7">
        <f t="shared" si="21"/>
        <v>346410</v>
      </c>
      <c r="K370" s="7">
        <v>320750</v>
      </c>
      <c r="L370" s="12">
        <f t="shared" si="22"/>
        <v>25660</v>
      </c>
      <c r="M370" s="8">
        <v>41518</v>
      </c>
      <c r="N370" s="9"/>
      <c r="O370" s="7"/>
      <c r="P370" s="10"/>
    </row>
    <row r="371" spans="1:16" ht="15.75" customHeight="1" x14ac:dyDescent="0.3">
      <c r="A371" s="11" t="s">
        <v>21</v>
      </c>
      <c r="B371" s="11" t="s">
        <v>20</v>
      </c>
      <c r="C371" s="12" t="s">
        <v>24</v>
      </c>
      <c r="D371" s="12" t="s">
        <v>34</v>
      </c>
      <c r="E371" s="11">
        <v>711</v>
      </c>
      <c r="F371" s="12">
        <v>5</v>
      </c>
      <c r="G371" s="12">
        <v>15</v>
      </c>
      <c r="H371" s="7">
        <f t="shared" si="23"/>
        <v>10665</v>
      </c>
      <c r="I371" s="7">
        <f t="shared" si="20"/>
        <v>1066.5</v>
      </c>
      <c r="J371" s="7">
        <f t="shared" si="21"/>
        <v>9598.5</v>
      </c>
      <c r="K371" s="12">
        <v>7110</v>
      </c>
      <c r="L371" s="12">
        <f t="shared" si="22"/>
        <v>2488.5</v>
      </c>
      <c r="M371" s="13">
        <v>41974</v>
      </c>
      <c r="N371" s="14"/>
      <c r="O371" s="12"/>
      <c r="P371" s="15"/>
    </row>
    <row r="372" spans="1:16" ht="15.75" customHeight="1" x14ac:dyDescent="0.3">
      <c r="A372" s="6" t="s">
        <v>26</v>
      </c>
      <c r="B372" s="6" t="s">
        <v>23</v>
      </c>
      <c r="C372" s="7" t="s">
        <v>29</v>
      </c>
      <c r="D372" s="7" t="s">
        <v>34</v>
      </c>
      <c r="E372" s="6">
        <v>1114</v>
      </c>
      <c r="F372" s="7">
        <v>10</v>
      </c>
      <c r="G372" s="7">
        <v>125</v>
      </c>
      <c r="H372" s="7">
        <f t="shared" si="23"/>
        <v>139250</v>
      </c>
      <c r="I372" s="7">
        <f t="shared" si="20"/>
        <v>13925</v>
      </c>
      <c r="J372" s="7">
        <f t="shared" si="21"/>
        <v>125325</v>
      </c>
      <c r="K372" s="7">
        <v>133680</v>
      </c>
      <c r="L372" s="12">
        <f t="shared" si="22"/>
        <v>-8355</v>
      </c>
      <c r="M372" s="8">
        <v>41699</v>
      </c>
      <c r="N372" s="9"/>
      <c r="O372" s="7"/>
      <c r="P372" s="10"/>
    </row>
    <row r="373" spans="1:16" ht="15.75" customHeight="1" x14ac:dyDescent="0.3">
      <c r="A373" s="11" t="s">
        <v>16</v>
      </c>
      <c r="B373" s="11" t="s">
        <v>20</v>
      </c>
      <c r="C373" s="12" t="s">
        <v>29</v>
      </c>
      <c r="D373" s="12" t="s">
        <v>34</v>
      </c>
      <c r="E373" s="11">
        <v>1259</v>
      </c>
      <c r="F373" s="12">
        <v>10</v>
      </c>
      <c r="G373" s="12">
        <v>7</v>
      </c>
      <c r="H373" s="7">
        <f t="shared" si="23"/>
        <v>8813</v>
      </c>
      <c r="I373" s="7">
        <f t="shared" si="20"/>
        <v>881.30000000000007</v>
      </c>
      <c r="J373" s="7">
        <f t="shared" si="21"/>
        <v>7931.7</v>
      </c>
      <c r="K373" s="12">
        <v>6295</v>
      </c>
      <c r="L373" s="12">
        <f t="shared" si="22"/>
        <v>1636.6999999999998</v>
      </c>
      <c r="M373" s="13">
        <v>41730</v>
      </c>
      <c r="N373" s="14"/>
      <c r="O373" s="12"/>
      <c r="P373" s="15"/>
    </row>
    <row r="374" spans="1:16" ht="15.75" customHeight="1" x14ac:dyDescent="0.3">
      <c r="A374" s="6" t="s">
        <v>16</v>
      </c>
      <c r="B374" s="6" t="s">
        <v>20</v>
      </c>
      <c r="C374" s="7" t="s">
        <v>29</v>
      </c>
      <c r="D374" s="7" t="s">
        <v>34</v>
      </c>
      <c r="E374" s="6">
        <v>1095</v>
      </c>
      <c r="F374" s="7">
        <v>10</v>
      </c>
      <c r="G374" s="7">
        <v>7</v>
      </c>
      <c r="H374" s="7">
        <f t="shared" si="23"/>
        <v>7665</v>
      </c>
      <c r="I374" s="7">
        <f t="shared" si="20"/>
        <v>766.5</v>
      </c>
      <c r="J374" s="7">
        <f t="shared" si="21"/>
        <v>6898.5</v>
      </c>
      <c r="K374" s="7">
        <v>5475</v>
      </c>
      <c r="L374" s="12">
        <f t="shared" si="22"/>
        <v>1423.5</v>
      </c>
      <c r="M374" s="8">
        <v>41760</v>
      </c>
      <c r="N374" s="9"/>
      <c r="O374" s="7"/>
      <c r="P374" s="10"/>
    </row>
    <row r="375" spans="1:16" ht="15.75" customHeight="1" x14ac:dyDescent="0.3">
      <c r="A375" s="11" t="s">
        <v>16</v>
      </c>
      <c r="B375" s="11" t="s">
        <v>20</v>
      </c>
      <c r="C375" s="12" t="s">
        <v>29</v>
      </c>
      <c r="D375" s="12" t="s">
        <v>34</v>
      </c>
      <c r="E375" s="11">
        <v>1366</v>
      </c>
      <c r="F375" s="12">
        <v>10</v>
      </c>
      <c r="G375" s="12">
        <v>20</v>
      </c>
      <c r="H375" s="7">
        <f t="shared" si="23"/>
        <v>27320</v>
      </c>
      <c r="I375" s="7">
        <f t="shared" si="20"/>
        <v>2732</v>
      </c>
      <c r="J375" s="7">
        <f t="shared" si="21"/>
        <v>24588</v>
      </c>
      <c r="K375" s="12">
        <v>13660</v>
      </c>
      <c r="L375" s="12">
        <f t="shared" si="22"/>
        <v>10928</v>
      </c>
      <c r="M375" s="13">
        <v>41791</v>
      </c>
      <c r="N375" s="14"/>
      <c r="O375" s="12"/>
      <c r="P375" s="15"/>
    </row>
    <row r="376" spans="1:16" ht="15.75" customHeight="1" x14ac:dyDescent="0.3">
      <c r="A376" s="6" t="s">
        <v>27</v>
      </c>
      <c r="B376" s="6" t="s">
        <v>23</v>
      </c>
      <c r="C376" s="7" t="s">
        <v>29</v>
      </c>
      <c r="D376" s="7" t="s">
        <v>34</v>
      </c>
      <c r="E376" s="6">
        <v>2460</v>
      </c>
      <c r="F376" s="7">
        <v>10</v>
      </c>
      <c r="G376" s="7">
        <v>300</v>
      </c>
      <c r="H376" s="7">
        <f t="shared" si="23"/>
        <v>738000</v>
      </c>
      <c r="I376" s="7">
        <f t="shared" si="20"/>
        <v>73800</v>
      </c>
      <c r="J376" s="7">
        <f t="shared" si="21"/>
        <v>664200</v>
      </c>
      <c r="K376" s="7">
        <v>615000</v>
      </c>
      <c r="L376" s="12">
        <f t="shared" si="22"/>
        <v>49200</v>
      </c>
      <c r="M376" s="8">
        <v>41791</v>
      </c>
      <c r="N376" s="9"/>
      <c r="O376" s="7"/>
      <c r="P376" s="10"/>
    </row>
    <row r="377" spans="1:16" ht="15.75" customHeight="1" x14ac:dyDescent="0.3">
      <c r="A377" s="11" t="s">
        <v>16</v>
      </c>
      <c r="B377" s="11" t="s">
        <v>28</v>
      </c>
      <c r="C377" s="12" t="s">
        <v>29</v>
      </c>
      <c r="D377" s="12" t="s">
        <v>34</v>
      </c>
      <c r="E377" s="11">
        <v>678</v>
      </c>
      <c r="F377" s="12">
        <v>10</v>
      </c>
      <c r="G377" s="12">
        <v>7</v>
      </c>
      <c r="H377" s="7">
        <f t="shared" si="23"/>
        <v>4746</v>
      </c>
      <c r="I377" s="7">
        <f t="shared" si="20"/>
        <v>474.6</v>
      </c>
      <c r="J377" s="7">
        <f t="shared" si="21"/>
        <v>4271.3999999999996</v>
      </c>
      <c r="K377" s="12">
        <v>3390</v>
      </c>
      <c r="L377" s="12">
        <f t="shared" si="22"/>
        <v>881.39999999999964</v>
      </c>
      <c r="M377" s="13">
        <v>41852</v>
      </c>
      <c r="N377" s="14"/>
      <c r="O377" s="12"/>
      <c r="P377" s="15"/>
    </row>
    <row r="378" spans="1:16" ht="15.75" customHeight="1" x14ac:dyDescent="0.3">
      <c r="A378" s="6" t="s">
        <v>16</v>
      </c>
      <c r="B378" s="6" t="s">
        <v>20</v>
      </c>
      <c r="C378" s="7" t="s">
        <v>29</v>
      </c>
      <c r="D378" s="7" t="s">
        <v>34</v>
      </c>
      <c r="E378" s="6">
        <v>1598</v>
      </c>
      <c r="F378" s="7">
        <v>10</v>
      </c>
      <c r="G378" s="7">
        <v>7</v>
      </c>
      <c r="H378" s="7">
        <f t="shared" si="23"/>
        <v>11186</v>
      </c>
      <c r="I378" s="7">
        <f t="shared" si="20"/>
        <v>1118.6000000000001</v>
      </c>
      <c r="J378" s="7">
        <f t="shared" si="21"/>
        <v>10067.4</v>
      </c>
      <c r="K378" s="7">
        <v>7990</v>
      </c>
      <c r="L378" s="12">
        <f t="shared" si="22"/>
        <v>2077.3999999999996</v>
      </c>
      <c r="M378" s="8">
        <v>41852</v>
      </c>
      <c r="N378" s="9"/>
      <c r="O378" s="7"/>
      <c r="P378" s="10"/>
    </row>
    <row r="379" spans="1:16" ht="15.75" customHeight="1" x14ac:dyDescent="0.3">
      <c r="A379" s="11" t="s">
        <v>16</v>
      </c>
      <c r="B379" s="11" t="s">
        <v>20</v>
      </c>
      <c r="C379" s="12" t="s">
        <v>29</v>
      </c>
      <c r="D379" s="12" t="s">
        <v>34</v>
      </c>
      <c r="E379" s="11">
        <v>2409</v>
      </c>
      <c r="F379" s="12">
        <v>10</v>
      </c>
      <c r="G379" s="12">
        <v>7</v>
      </c>
      <c r="H379" s="7">
        <f t="shared" si="23"/>
        <v>16863</v>
      </c>
      <c r="I379" s="7">
        <f t="shared" si="20"/>
        <v>1686.3000000000002</v>
      </c>
      <c r="J379" s="7">
        <f t="shared" si="21"/>
        <v>15176.7</v>
      </c>
      <c r="K379" s="12">
        <v>12045</v>
      </c>
      <c r="L379" s="12">
        <f t="shared" si="22"/>
        <v>3131.7000000000007</v>
      </c>
      <c r="M379" s="13">
        <v>41518</v>
      </c>
      <c r="N379" s="14"/>
      <c r="O379" s="12"/>
      <c r="P379" s="15"/>
    </row>
    <row r="380" spans="1:16" ht="15.75" customHeight="1" x14ac:dyDescent="0.3">
      <c r="A380" s="6" t="s">
        <v>16</v>
      </c>
      <c r="B380" s="6" t="s">
        <v>20</v>
      </c>
      <c r="C380" s="7" t="s">
        <v>29</v>
      </c>
      <c r="D380" s="7" t="s">
        <v>34</v>
      </c>
      <c r="E380" s="6">
        <v>1934</v>
      </c>
      <c r="F380" s="7">
        <v>10</v>
      </c>
      <c r="G380" s="7">
        <v>20</v>
      </c>
      <c r="H380" s="7">
        <f t="shared" si="23"/>
        <v>38680</v>
      </c>
      <c r="I380" s="7">
        <f t="shared" si="20"/>
        <v>3868</v>
      </c>
      <c r="J380" s="7">
        <f t="shared" si="21"/>
        <v>34812</v>
      </c>
      <c r="K380" s="7">
        <v>19340</v>
      </c>
      <c r="L380" s="12">
        <f t="shared" si="22"/>
        <v>15472</v>
      </c>
      <c r="M380" s="8">
        <v>41883</v>
      </c>
      <c r="N380" s="9"/>
      <c r="O380" s="7"/>
      <c r="P380" s="10"/>
    </row>
    <row r="381" spans="1:16" ht="15.75" customHeight="1" x14ac:dyDescent="0.3">
      <c r="A381" s="11" t="s">
        <v>16</v>
      </c>
      <c r="B381" s="11" t="s">
        <v>23</v>
      </c>
      <c r="C381" s="12" t="s">
        <v>29</v>
      </c>
      <c r="D381" s="12" t="s">
        <v>34</v>
      </c>
      <c r="E381" s="11">
        <v>2993</v>
      </c>
      <c r="F381" s="12">
        <v>10</v>
      </c>
      <c r="G381" s="12">
        <v>20</v>
      </c>
      <c r="H381" s="7">
        <f t="shared" si="23"/>
        <v>59860</v>
      </c>
      <c r="I381" s="7">
        <f t="shared" si="20"/>
        <v>5986</v>
      </c>
      <c r="J381" s="7">
        <f t="shared" si="21"/>
        <v>53874</v>
      </c>
      <c r="K381" s="12">
        <v>29930</v>
      </c>
      <c r="L381" s="12">
        <f t="shared" si="22"/>
        <v>23944</v>
      </c>
      <c r="M381" s="13">
        <v>41883</v>
      </c>
      <c r="N381" s="14"/>
      <c r="O381" s="12"/>
      <c r="P381" s="15"/>
    </row>
    <row r="382" spans="1:16" ht="15.75" customHeight="1" x14ac:dyDescent="0.3">
      <c r="A382" s="6" t="s">
        <v>16</v>
      </c>
      <c r="B382" s="6" t="s">
        <v>20</v>
      </c>
      <c r="C382" s="7" t="s">
        <v>29</v>
      </c>
      <c r="D382" s="7" t="s">
        <v>34</v>
      </c>
      <c r="E382" s="6">
        <v>2146</v>
      </c>
      <c r="F382" s="7">
        <v>10</v>
      </c>
      <c r="G382" s="7">
        <v>350</v>
      </c>
      <c r="H382" s="7">
        <f t="shared" si="23"/>
        <v>751100</v>
      </c>
      <c r="I382" s="7">
        <f t="shared" si="20"/>
        <v>75110</v>
      </c>
      <c r="J382" s="7">
        <f t="shared" si="21"/>
        <v>675990</v>
      </c>
      <c r="K382" s="7">
        <v>557960</v>
      </c>
      <c r="L382" s="12">
        <f t="shared" si="22"/>
        <v>118030</v>
      </c>
      <c r="M382" s="8">
        <v>41579</v>
      </c>
      <c r="N382" s="9"/>
      <c r="O382" s="7"/>
      <c r="P382" s="10"/>
    </row>
    <row r="383" spans="1:16" ht="15.75" customHeight="1" x14ac:dyDescent="0.3">
      <c r="A383" s="11" t="s">
        <v>16</v>
      </c>
      <c r="B383" s="11" t="s">
        <v>23</v>
      </c>
      <c r="C383" s="12" t="s">
        <v>29</v>
      </c>
      <c r="D383" s="12" t="s">
        <v>34</v>
      </c>
      <c r="E383" s="11">
        <v>1946</v>
      </c>
      <c r="F383" s="12">
        <v>10</v>
      </c>
      <c r="G383" s="12">
        <v>7</v>
      </c>
      <c r="H383" s="7">
        <f t="shared" si="23"/>
        <v>13622</v>
      </c>
      <c r="I383" s="7">
        <f t="shared" si="20"/>
        <v>1362.2</v>
      </c>
      <c r="J383" s="7">
        <f t="shared" si="21"/>
        <v>12259.8</v>
      </c>
      <c r="K383" s="12">
        <v>9730</v>
      </c>
      <c r="L383" s="12">
        <f t="shared" si="22"/>
        <v>2529.7999999999993</v>
      </c>
      <c r="M383" s="13">
        <v>41609</v>
      </c>
      <c r="N383" s="14"/>
      <c r="O383" s="12"/>
      <c r="P383" s="15"/>
    </row>
    <row r="384" spans="1:16" ht="15.75" customHeight="1" x14ac:dyDescent="0.3">
      <c r="A384" s="6" t="s">
        <v>16</v>
      </c>
      <c r="B384" s="6" t="s">
        <v>23</v>
      </c>
      <c r="C384" s="7" t="s">
        <v>29</v>
      </c>
      <c r="D384" s="7" t="s">
        <v>34</v>
      </c>
      <c r="E384" s="6">
        <v>1362</v>
      </c>
      <c r="F384" s="7">
        <v>10</v>
      </c>
      <c r="G384" s="7">
        <v>350</v>
      </c>
      <c r="H384" s="7">
        <f t="shared" si="23"/>
        <v>476700</v>
      </c>
      <c r="I384" s="7">
        <f t="shared" si="20"/>
        <v>47670</v>
      </c>
      <c r="J384" s="7">
        <f t="shared" si="21"/>
        <v>429030</v>
      </c>
      <c r="K384" s="7">
        <v>354120</v>
      </c>
      <c r="L384" s="12">
        <f t="shared" si="22"/>
        <v>74910</v>
      </c>
      <c r="M384" s="8">
        <v>41974</v>
      </c>
      <c r="N384" s="9"/>
      <c r="O384" s="7"/>
      <c r="P384" s="10"/>
    </row>
    <row r="385" spans="1:16" ht="15.75" customHeight="1" x14ac:dyDescent="0.3">
      <c r="A385" s="11" t="s">
        <v>25</v>
      </c>
      <c r="B385" s="11" t="s">
        <v>17</v>
      </c>
      <c r="C385" s="12" t="s">
        <v>30</v>
      </c>
      <c r="D385" s="12" t="s">
        <v>34</v>
      </c>
      <c r="E385" s="11">
        <v>598</v>
      </c>
      <c r="F385" s="12">
        <v>120</v>
      </c>
      <c r="G385" s="12">
        <v>12</v>
      </c>
      <c r="H385" s="7">
        <f t="shared" si="23"/>
        <v>7176</v>
      </c>
      <c r="I385" s="7">
        <f t="shared" si="20"/>
        <v>717.6</v>
      </c>
      <c r="J385" s="7">
        <f t="shared" si="21"/>
        <v>6458.4</v>
      </c>
      <c r="K385" s="12">
        <v>1794</v>
      </c>
      <c r="L385" s="12">
        <f t="shared" si="22"/>
        <v>4664.3999999999996</v>
      </c>
      <c r="M385" s="13">
        <v>41699</v>
      </c>
      <c r="N385" s="14"/>
      <c r="O385" s="12"/>
      <c r="P385" s="15"/>
    </row>
    <row r="386" spans="1:16" ht="15.75" customHeight="1" x14ac:dyDescent="0.3">
      <c r="A386" s="6" t="s">
        <v>16</v>
      </c>
      <c r="B386" s="6" t="s">
        <v>28</v>
      </c>
      <c r="C386" s="7" t="s">
        <v>30</v>
      </c>
      <c r="D386" s="7" t="s">
        <v>34</v>
      </c>
      <c r="E386" s="6">
        <v>2907</v>
      </c>
      <c r="F386" s="7">
        <v>120</v>
      </c>
      <c r="G386" s="7">
        <v>7</v>
      </c>
      <c r="H386" s="7">
        <f t="shared" si="23"/>
        <v>20349</v>
      </c>
      <c r="I386" s="7">
        <f t="shared" si="20"/>
        <v>2034.9</v>
      </c>
      <c r="J386" s="7">
        <f t="shared" si="21"/>
        <v>18314.099999999999</v>
      </c>
      <c r="K386" s="7">
        <v>14535</v>
      </c>
      <c r="L386" s="12">
        <f t="shared" si="22"/>
        <v>3779.0999999999985</v>
      </c>
      <c r="M386" s="8">
        <v>41791</v>
      </c>
      <c r="N386" s="9"/>
      <c r="O386" s="7"/>
      <c r="P386" s="10"/>
    </row>
    <row r="387" spans="1:16" ht="15.75" customHeight="1" x14ac:dyDescent="0.3">
      <c r="A387" s="11" t="s">
        <v>16</v>
      </c>
      <c r="B387" s="11" t="s">
        <v>20</v>
      </c>
      <c r="C387" s="12" t="s">
        <v>30</v>
      </c>
      <c r="D387" s="12" t="s">
        <v>34</v>
      </c>
      <c r="E387" s="11">
        <v>2338</v>
      </c>
      <c r="F387" s="12">
        <v>120</v>
      </c>
      <c r="G387" s="12">
        <v>7</v>
      </c>
      <c r="H387" s="7">
        <f t="shared" si="23"/>
        <v>16366</v>
      </c>
      <c r="I387" s="7">
        <f t="shared" ref="I387:I450" si="24">IF(D387="None", 0, IF(D387="Low", H387*0.05, IF(D387="Medium", H387*0.1, IF(D387="High", H387*0.15, 0))))</f>
        <v>1636.6000000000001</v>
      </c>
      <c r="J387" s="7">
        <f t="shared" ref="J387:J450" si="25">H387-I387</f>
        <v>14729.4</v>
      </c>
      <c r="K387" s="12">
        <v>11690</v>
      </c>
      <c r="L387" s="12">
        <f t="shared" si="22"/>
        <v>3039.3999999999996</v>
      </c>
      <c r="M387" s="13">
        <v>41791</v>
      </c>
      <c r="N387" s="14"/>
      <c r="O387" s="12"/>
      <c r="P387" s="15"/>
    </row>
    <row r="388" spans="1:16" ht="15.75" customHeight="1" x14ac:dyDescent="0.3">
      <c r="A388" s="6" t="s">
        <v>27</v>
      </c>
      <c r="B388" s="6" t="s">
        <v>22</v>
      </c>
      <c r="C388" s="7" t="s">
        <v>30</v>
      </c>
      <c r="D388" s="7" t="s">
        <v>34</v>
      </c>
      <c r="E388" s="6">
        <v>386</v>
      </c>
      <c r="F388" s="7">
        <v>120</v>
      </c>
      <c r="G388" s="7">
        <v>300</v>
      </c>
      <c r="H388" s="7">
        <f t="shared" si="23"/>
        <v>115800</v>
      </c>
      <c r="I388" s="7">
        <f t="shared" si="24"/>
        <v>11580</v>
      </c>
      <c r="J388" s="7">
        <f t="shared" si="25"/>
        <v>104220</v>
      </c>
      <c r="K388" s="7">
        <v>96500</v>
      </c>
      <c r="L388" s="12">
        <f t="shared" ref="L388:L451" si="26">J388-K388</f>
        <v>7720</v>
      </c>
      <c r="M388" s="8">
        <v>41579</v>
      </c>
      <c r="N388" s="9"/>
      <c r="O388" s="7"/>
      <c r="P388" s="10"/>
    </row>
    <row r="389" spans="1:16" ht="15.75" customHeight="1" x14ac:dyDescent="0.3">
      <c r="A389" s="11" t="s">
        <v>27</v>
      </c>
      <c r="B389" s="11" t="s">
        <v>23</v>
      </c>
      <c r="C389" s="12" t="s">
        <v>30</v>
      </c>
      <c r="D389" s="12" t="s">
        <v>34</v>
      </c>
      <c r="E389" s="11">
        <v>635</v>
      </c>
      <c r="F389" s="12">
        <v>120</v>
      </c>
      <c r="G389" s="12">
        <v>300</v>
      </c>
      <c r="H389" s="7">
        <f t="shared" ref="H389:H452" si="27">E389*G389</f>
        <v>190500</v>
      </c>
      <c r="I389" s="7">
        <f t="shared" si="24"/>
        <v>19050</v>
      </c>
      <c r="J389" s="7">
        <f t="shared" si="25"/>
        <v>171450</v>
      </c>
      <c r="K389" s="12">
        <v>158750</v>
      </c>
      <c r="L389" s="12">
        <f t="shared" si="26"/>
        <v>12700</v>
      </c>
      <c r="M389" s="13">
        <v>41974</v>
      </c>
      <c r="N389" s="14"/>
      <c r="O389" s="12"/>
      <c r="P389" s="15"/>
    </row>
    <row r="390" spans="1:16" ht="15.75" customHeight="1" x14ac:dyDescent="0.3">
      <c r="A390" s="6" t="s">
        <v>16</v>
      </c>
      <c r="B390" s="6" t="s">
        <v>22</v>
      </c>
      <c r="C390" s="7" t="s">
        <v>31</v>
      </c>
      <c r="D390" s="7" t="s">
        <v>34</v>
      </c>
      <c r="E390" s="6">
        <v>574.5</v>
      </c>
      <c r="F390" s="7">
        <v>250</v>
      </c>
      <c r="G390" s="7">
        <v>350</v>
      </c>
      <c r="H390" s="7">
        <f t="shared" si="27"/>
        <v>201075</v>
      </c>
      <c r="I390" s="7">
        <f t="shared" si="24"/>
        <v>20107.5</v>
      </c>
      <c r="J390" s="7">
        <f t="shared" si="25"/>
        <v>180967.5</v>
      </c>
      <c r="K390" s="7">
        <v>149370</v>
      </c>
      <c r="L390" s="12">
        <f t="shared" si="26"/>
        <v>31597.5</v>
      </c>
      <c r="M390" s="8">
        <v>41730</v>
      </c>
      <c r="N390" s="9"/>
      <c r="O390" s="7"/>
      <c r="P390" s="10"/>
    </row>
    <row r="391" spans="1:16" ht="15.75" customHeight="1" x14ac:dyDescent="0.3">
      <c r="A391" s="11" t="s">
        <v>16</v>
      </c>
      <c r="B391" s="11" t="s">
        <v>20</v>
      </c>
      <c r="C391" s="12" t="s">
        <v>31</v>
      </c>
      <c r="D391" s="12" t="s">
        <v>34</v>
      </c>
      <c r="E391" s="11">
        <v>2338</v>
      </c>
      <c r="F391" s="12">
        <v>250</v>
      </c>
      <c r="G391" s="12">
        <v>7</v>
      </c>
      <c r="H391" s="7">
        <f t="shared" si="27"/>
        <v>16366</v>
      </c>
      <c r="I391" s="7">
        <f t="shared" si="24"/>
        <v>1636.6000000000001</v>
      </c>
      <c r="J391" s="7">
        <f t="shared" si="25"/>
        <v>14729.4</v>
      </c>
      <c r="K391" s="12">
        <v>11690</v>
      </c>
      <c r="L391" s="12">
        <f t="shared" si="26"/>
        <v>3039.3999999999996</v>
      </c>
      <c r="M391" s="13">
        <v>41791</v>
      </c>
      <c r="N391" s="14"/>
      <c r="O391" s="12"/>
      <c r="P391" s="15"/>
    </row>
    <row r="392" spans="1:16" ht="15.75" customHeight="1" x14ac:dyDescent="0.3">
      <c r="A392" s="6" t="s">
        <v>16</v>
      </c>
      <c r="B392" s="6" t="s">
        <v>22</v>
      </c>
      <c r="C392" s="7" t="s">
        <v>31</v>
      </c>
      <c r="D392" s="7" t="s">
        <v>34</v>
      </c>
      <c r="E392" s="6">
        <v>381</v>
      </c>
      <c r="F392" s="7">
        <v>250</v>
      </c>
      <c r="G392" s="7">
        <v>350</v>
      </c>
      <c r="H392" s="7">
        <f t="shared" si="27"/>
        <v>133350</v>
      </c>
      <c r="I392" s="7">
        <f t="shared" si="24"/>
        <v>13335</v>
      </c>
      <c r="J392" s="7">
        <f t="shared" si="25"/>
        <v>120015</v>
      </c>
      <c r="K392" s="7">
        <v>99060</v>
      </c>
      <c r="L392" s="12">
        <f t="shared" si="26"/>
        <v>20955</v>
      </c>
      <c r="M392" s="8">
        <v>41852</v>
      </c>
      <c r="N392" s="9"/>
      <c r="O392" s="7"/>
      <c r="P392" s="10"/>
    </row>
    <row r="393" spans="1:16" ht="15.75" customHeight="1" x14ac:dyDescent="0.3">
      <c r="A393" s="11" t="s">
        <v>16</v>
      </c>
      <c r="B393" s="11" t="s">
        <v>20</v>
      </c>
      <c r="C393" s="12" t="s">
        <v>31</v>
      </c>
      <c r="D393" s="12" t="s">
        <v>34</v>
      </c>
      <c r="E393" s="11">
        <v>422</v>
      </c>
      <c r="F393" s="12">
        <v>250</v>
      </c>
      <c r="G393" s="12">
        <v>350</v>
      </c>
      <c r="H393" s="7">
        <f t="shared" si="27"/>
        <v>147700</v>
      </c>
      <c r="I393" s="7">
        <f t="shared" si="24"/>
        <v>14770</v>
      </c>
      <c r="J393" s="7">
        <f t="shared" si="25"/>
        <v>132930</v>
      </c>
      <c r="K393" s="12">
        <v>109720</v>
      </c>
      <c r="L393" s="12">
        <f t="shared" si="26"/>
        <v>23210</v>
      </c>
      <c r="M393" s="13">
        <v>41852</v>
      </c>
      <c r="N393" s="14"/>
      <c r="O393" s="12"/>
      <c r="P393" s="15"/>
    </row>
    <row r="394" spans="1:16" ht="15.75" customHeight="1" x14ac:dyDescent="0.3">
      <c r="A394" s="6" t="s">
        <v>27</v>
      </c>
      <c r="B394" s="6" t="s">
        <v>17</v>
      </c>
      <c r="C394" s="7" t="s">
        <v>31</v>
      </c>
      <c r="D394" s="7" t="s">
        <v>34</v>
      </c>
      <c r="E394" s="6">
        <v>2134</v>
      </c>
      <c r="F394" s="7">
        <v>250</v>
      </c>
      <c r="G394" s="7">
        <v>300</v>
      </c>
      <c r="H394" s="7">
        <f t="shared" si="27"/>
        <v>640200</v>
      </c>
      <c r="I394" s="7">
        <f t="shared" si="24"/>
        <v>64020</v>
      </c>
      <c r="J394" s="7">
        <f t="shared" si="25"/>
        <v>576180</v>
      </c>
      <c r="K394" s="7">
        <v>533500</v>
      </c>
      <c r="L394" s="12">
        <f t="shared" si="26"/>
        <v>42680</v>
      </c>
      <c r="M394" s="8">
        <v>41883</v>
      </c>
      <c r="N394" s="9"/>
      <c r="O394" s="7"/>
      <c r="P394" s="10"/>
    </row>
    <row r="395" spans="1:16" ht="15.75" customHeight="1" x14ac:dyDescent="0.3">
      <c r="A395" s="11" t="s">
        <v>27</v>
      </c>
      <c r="B395" s="11" t="s">
        <v>28</v>
      </c>
      <c r="C395" s="12" t="s">
        <v>31</v>
      </c>
      <c r="D395" s="12" t="s">
        <v>34</v>
      </c>
      <c r="E395" s="11">
        <v>808</v>
      </c>
      <c r="F395" s="12">
        <v>250</v>
      </c>
      <c r="G395" s="12">
        <v>300</v>
      </c>
      <c r="H395" s="7">
        <f t="shared" si="27"/>
        <v>242400</v>
      </c>
      <c r="I395" s="7">
        <f t="shared" si="24"/>
        <v>24240</v>
      </c>
      <c r="J395" s="7">
        <f t="shared" si="25"/>
        <v>218160</v>
      </c>
      <c r="K395" s="12">
        <v>202000</v>
      </c>
      <c r="L395" s="12">
        <f t="shared" si="26"/>
        <v>16160</v>
      </c>
      <c r="M395" s="13">
        <v>41609</v>
      </c>
      <c r="N395" s="14"/>
      <c r="O395" s="12"/>
      <c r="P395" s="15"/>
    </row>
    <row r="396" spans="1:16" ht="15.75" customHeight="1" x14ac:dyDescent="0.3">
      <c r="A396" s="6" t="s">
        <v>16</v>
      </c>
      <c r="B396" s="6" t="s">
        <v>17</v>
      </c>
      <c r="C396" s="7" t="s">
        <v>32</v>
      </c>
      <c r="D396" s="7" t="s">
        <v>34</v>
      </c>
      <c r="E396" s="6">
        <v>708</v>
      </c>
      <c r="F396" s="7">
        <v>260</v>
      </c>
      <c r="G396" s="7">
        <v>20</v>
      </c>
      <c r="H396" s="7">
        <f t="shared" si="27"/>
        <v>14160</v>
      </c>
      <c r="I396" s="7">
        <f t="shared" si="24"/>
        <v>1416</v>
      </c>
      <c r="J396" s="7">
        <f t="shared" si="25"/>
        <v>12744</v>
      </c>
      <c r="K396" s="7">
        <v>7080</v>
      </c>
      <c r="L396" s="12">
        <f t="shared" si="26"/>
        <v>5664</v>
      </c>
      <c r="M396" s="8">
        <v>41791</v>
      </c>
      <c r="N396" s="9"/>
      <c r="O396" s="7"/>
      <c r="P396" s="10"/>
    </row>
    <row r="397" spans="1:16" ht="15.75" customHeight="1" x14ac:dyDescent="0.3">
      <c r="A397" s="11" t="s">
        <v>16</v>
      </c>
      <c r="B397" s="11" t="s">
        <v>28</v>
      </c>
      <c r="C397" s="12" t="s">
        <v>32</v>
      </c>
      <c r="D397" s="12" t="s">
        <v>34</v>
      </c>
      <c r="E397" s="11">
        <v>2907</v>
      </c>
      <c r="F397" s="12">
        <v>260</v>
      </c>
      <c r="G397" s="12">
        <v>7</v>
      </c>
      <c r="H397" s="7">
        <f t="shared" si="27"/>
        <v>20349</v>
      </c>
      <c r="I397" s="7">
        <f t="shared" si="24"/>
        <v>2034.9</v>
      </c>
      <c r="J397" s="7">
        <f t="shared" si="25"/>
        <v>18314.099999999999</v>
      </c>
      <c r="K397" s="12">
        <v>14535</v>
      </c>
      <c r="L397" s="12">
        <f t="shared" si="26"/>
        <v>3779.0999999999985</v>
      </c>
      <c r="M397" s="13">
        <v>41791</v>
      </c>
      <c r="N397" s="14"/>
      <c r="O397" s="12"/>
      <c r="P397" s="15"/>
    </row>
    <row r="398" spans="1:16" ht="15.75" customHeight="1" x14ac:dyDescent="0.3">
      <c r="A398" s="6" t="s">
        <v>16</v>
      </c>
      <c r="B398" s="6" t="s">
        <v>20</v>
      </c>
      <c r="C398" s="7" t="s">
        <v>32</v>
      </c>
      <c r="D398" s="7" t="s">
        <v>34</v>
      </c>
      <c r="E398" s="6">
        <v>1366</v>
      </c>
      <c r="F398" s="7">
        <v>260</v>
      </c>
      <c r="G398" s="7">
        <v>20</v>
      </c>
      <c r="H398" s="7">
        <f t="shared" si="27"/>
        <v>27320</v>
      </c>
      <c r="I398" s="7">
        <f t="shared" si="24"/>
        <v>2732</v>
      </c>
      <c r="J398" s="7">
        <f t="shared" si="25"/>
        <v>24588</v>
      </c>
      <c r="K398" s="7">
        <v>13660</v>
      </c>
      <c r="L398" s="12">
        <f t="shared" si="26"/>
        <v>10928</v>
      </c>
      <c r="M398" s="8">
        <v>41791</v>
      </c>
      <c r="N398" s="9"/>
      <c r="O398" s="7"/>
      <c r="P398" s="10"/>
    </row>
    <row r="399" spans="1:16" ht="15.75" customHeight="1" x14ac:dyDescent="0.3">
      <c r="A399" s="11" t="s">
        <v>27</v>
      </c>
      <c r="B399" s="11" t="s">
        <v>23</v>
      </c>
      <c r="C399" s="12" t="s">
        <v>32</v>
      </c>
      <c r="D399" s="12" t="s">
        <v>34</v>
      </c>
      <c r="E399" s="11">
        <v>2460</v>
      </c>
      <c r="F399" s="12">
        <v>260</v>
      </c>
      <c r="G399" s="12">
        <v>300</v>
      </c>
      <c r="H399" s="7">
        <f t="shared" si="27"/>
        <v>738000</v>
      </c>
      <c r="I399" s="7">
        <f t="shared" si="24"/>
        <v>73800</v>
      </c>
      <c r="J399" s="7">
        <f t="shared" si="25"/>
        <v>664200</v>
      </c>
      <c r="K399" s="12">
        <v>615000</v>
      </c>
      <c r="L399" s="12">
        <f t="shared" si="26"/>
        <v>49200</v>
      </c>
      <c r="M399" s="13">
        <v>41791</v>
      </c>
      <c r="N399" s="14"/>
      <c r="O399" s="12"/>
      <c r="P399" s="15"/>
    </row>
    <row r="400" spans="1:16" ht="15.75" customHeight="1" x14ac:dyDescent="0.3">
      <c r="A400" s="6" t="s">
        <v>16</v>
      </c>
      <c r="B400" s="6" t="s">
        <v>20</v>
      </c>
      <c r="C400" s="7" t="s">
        <v>32</v>
      </c>
      <c r="D400" s="7" t="s">
        <v>34</v>
      </c>
      <c r="E400" s="6">
        <v>1520</v>
      </c>
      <c r="F400" s="7">
        <v>260</v>
      </c>
      <c r="G400" s="7">
        <v>20</v>
      </c>
      <c r="H400" s="7">
        <f t="shared" si="27"/>
        <v>30400</v>
      </c>
      <c r="I400" s="7">
        <f t="shared" si="24"/>
        <v>3040</v>
      </c>
      <c r="J400" s="7">
        <f t="shared" si="25"/>
        <v>27360</v>
      </c>
      <c r="K400" s="7">
        <v>15200</v>
      </c>
      <c r="L400" s="12">
        <f t="shared" si="26"/>
        <v>12160</v>
      </c>
      <c r="M400" s="8">
        <v>41944</v>
      </c>
      <c r="N400" s="9"/>
      <c r="O400" s="7"/>
      <c r="P400" s="10"/>
    </row>
    <row r="401" spans="1:16" ht="15.75" customHeight="1" x14ac:dyDescent="0.3">
      <c r="A401" s="11" t="s">
        <v>21</v>
      </c>
      <c r="B401" s="11" t="s">
        <v>20</v>
      </c>
      <c r="C401" s="12" t="s">
        <v>32</v>
      </c>
      <c r="D401" s="12" t="s">
        <v>34</v>
      </c>
      <c r="E401" s="11">
        <v>711</v>
      </c>
      <c r="F401" s="12">
        <v>260</v>
      </c>
      <c r="G401" s="12">
        <v>15</v>
      </c>
      <c r="H401" s="7">
        <f t="shared" si="27"/>
        <v>10665</v>
      </c>
      <c r="I401" s="7">
        <f t="shared" si="24"/>
        <v>1066.5</v>
      </c>
      <c r="J401" s="7">
        <f t="shared" si="25"/>
        <v>9598.5</v>
      </c>
      <c r="K401" s="12">
        <v>7110</v>
      </c>
      <c r="L401" s="12">
        <f t="shared" si="26"/>
        <v>2488.5</v>
      </c>
      <c r="M401" s="13">
        <v>41974</v>
      </c>
      <c r="N401" s="14"/>
      <c r="O401" s="12"/>
      <c r="P401" s="15"/>
    </row>
    <row r="402" spans="1:16" ht="15.75" customHeight="1" x14ac:dyDescent="0.3">
      <c r="A402" s="6" t="s">
        <v>25</v>
      </c>
      <c r="B402" s="6" t="s">
        <v>23</v>
      </c>
      <c r="C402" s="7" t="s">
        <v>32</v>
      </c>
      <c r="D402" s="7" t="s">
        <v>34</v>
      </c>
      <c r="E402" s="6">
        <v>1375</v>
      </c>
      <c r="F402" s="7">
        <v>260</v>
      </c>
      <c r="G402" s="7">
        <v>12</v>
      </c>
      <c r="H402" s="7">
        <f t="shared" si="27"/>
        <v>16500</v>
      </c>
      <c r="I402" s="7">
        <f t="shared" si="24"/>
        <v>1650</v>
      </c>
      <c r="J402" s="7">
        <f t="shared" si="25"/>
        <v>14850</v>
      </c>
      <c r="K402" s="7">
        <v>4125</v>
      </c>
      <c r="L402" s="12">
        <f t="shared" si="26"/>
        <v>10725</v>
      </c>
      <c r="M402" s="8">
        <v>41609</v>
      </c>
      <c r="N402" s="9"/>
      <c r="O402" s="7"/>
      <c r="P402" s="10"/>
    </row>
    <row r="403" spans="1:16" ht="15.75" customHeight="1" x14ac:dyDescent="0.3">
      <c r="A403" s="11" t="s">
        <v>27</v>
      </c>
      <c r="B403" s="11" t="s">
        <v>23</v>
      </c>
      <c r="C403" s="12" t="s">
        <v>32</v>
      </c>
      <c r="D403" s="12" t="s">
        <v>34</v>
      </c>
      <c r="E403" s="11">
        <v>635</v>
      </c>
      <c r="F403" s="12">
        <v>260</v>
      </c>
      <c r="G403" s="12">
        <v>300</v>
      </c>
      <c r="H403" s="7">
        <f t="shared" si="27"/>
        <v>190500</v>
      </c>
      <c r="I403" s="7">
        <f t="shared" si="24"/>
        <v>19050</v>
      </c>
      <c r="J403" s="7">
        <f t="shared" si="25"/>
        <v>171450</v>
      </c>
      <c r="K403" s="12">
        <v>158750</v>
      </c>
      <c r="L403" s="12">
        <f t="shared" si="26"/>
        <v>12700</v>
      </c>
      <c r="M403" s="13">
        <v>41974</v>
      </c>
      <c r="N403" s="14"/>
      <c r="O403" s="12"/>
      <c r="P403" s="15"/>
    </row>
    <row r="404" spans="1:16" ht="15.75" customHeight="1" x14ac:dyDescent="0.3">
      <c r="A404" s="6" t="s">
        <v>16</v>
      </c>
      <c r="B404" s="6" t="s">
        <v>28</v>
      </c>
      <c r="C404" s="7" t="s">
        <v>31</v>
      </c>
      <c r="D404" s="7" t="s">
        <v>34</v>
      </c>
      <c r="E404" s="6">
        <v>436.5</v>
      </c>
      <c r="F404" s="7">
        <v>250</v>
      </c>
      <c r="G404" s="7">
        <v>20</v>
      </c>
      <c r="H404" s="7">
        <f t="shared" si="27"/>
        <v>8730</v>
      </c>
      <c r="I404" s="7">
        <f t="shared" si="24"/>
        <v>873</v>
      </c>
      <c r="J404" s="7">
        <f t="shared" si="25"/>
        <v>7857</v>
      </c>
      <c r="K404" s="7">
        <v>4365</v>
      </c>
      <c r="L404" s="12">
        <f t="shared" si="26"/>
        <v>3492</v>
      </c>
      <c r="M404" s="8">
        <v>41821</v>
      </c>
      <c r="N404" s="9"/>
      <c r="O404" s="7"/>
      <c r="P404" s="10"/>
    </row>
    <row r="405" spans="1:16" ht="15.75" customHeight="1" x14ac:dyDescent="0.3">
      <c r="A405" s="11" t="s">
        <v>27</v>
      </c>
      <c r="B405" s="11" t="s">
        <v>17</v>
      </c>
      <c r="C405" s="12" t="s">
        <v>18</v>
      </c>
      <c r="D405" s="12" t="s">
        <v>34</v>
      </c>
      <c r="E405" s="11">
        <v>1094</v>
      </c>
      <c r="F405" s="12">
        <v>3</v>
      </c>
      <c r="G405" s="12">
        <v>300</v>
      </c>
      <c r="H405" s="7">
        <f t="shared" si="27"/>
        <v>328200</v>
      </c>
      <c r="I405" s="7">
        <f t="shared" si="24"/>
        <v>32820</v>
      </c>
      <c r="J405" s="7">
        <f t="shared" si="25"/>
        <v>295380</v>
      </c>
      <c r="K405" s="12">
        <v>273500</v>
      </c>
      <c r="L405" s="12">
        <f t="shared" si="26"/>
        <v>21880</v>
      </c>
      <c r="M405" s="13">
        <v>41791</v>
      </c>
      <c r="N405" s="14"/>
      <c r="O405" s="12"/>
      <c r="P405" s="15"/>
    </row>
    <row r="406" spans="1:16" ht="15.75" customHeight="1" x14ac:dyDescent="0.3">
      <c r="A406" s="6" t="s">
        <v>25</v>
      </c>
      <c r="B406" s="6" t="s">
        <v>23</v>
      </c>
      <c r="C406" s="7" t="s">
        <v>18</v>
      </c>
      <c r="D406" s="7" t="s">
        <v>34</v>
      </c>
      <c r="E406" s="6">
        <v>367</v>
      </c>
      <c r="F406" s="7">
        <v>3</v>
      </c>
      <c r="G406" s="7">
        <v>12</v>
      </c>
      <c r="H406" s="7">
        <f t="shared" si="27"/>
        <v>4404</v>
      </c>
      <c r="I406" s="7">
        <f t="shared" si="24"/>
        <v>440.40000000000003</v>
      </c>
      <c r="J406" s="7">
        <f t="shared" si="25"/>
        <v>3963.6</v>
      </c>
      <c r="K406" s="7">
        <v>1101</v>
      </c>
      <c r="L406" s="12">
        <f t="shared" si="26"/>
        <v>2862.6</v>
      </c>
      <c r="M406" s="8">
        <v>41548</v>
      </c>
      <c r="N406" s="9"/>
      <c r="O406" s="7"/>
      <c r="P406" s="10"/>
    </row>
    <row r="407" spans="1:16" ht="15.75" customHeight="1" x14ac:dyDescent="0.3">
      <c r="A407" s="11" t="s">
        <v>27</v>
      </c>
      <c r="B407" s="11" t="s">
        <v>17</v>
      </c>
      <c r="C407" s="12" t="s">
        <v>24</v>
      </c>
      <c r="D407" s="12" t="s">
        <v>34</v>
      </c>
      <c r="E407" s="11">
        <v>3802.5</v>
      </c>
      <c r="F407" s="12">
        <v>5</v>
      </c>
      <c r="G407" s="12">
        <v>300</v>
      </c>
      <c r="H407" s="7">
        <f t="shared" si="27"/>
        <v>1140750</v>
      </c>
      <c r="I407" s="7">
        <f t="shared" si="24"/>
        <v>114075</v>
      </c>
      <c r="J407" s="7">
        <f t="shared" si="25"/>
        <v>1026675</v>
      </c>
      <c r="K407" s="12">
        <v>950625</v>
      </c>
      <c r="L407" s="12">
        <f t="shared" si="26"/>
        <v>76050</v>
      </c>
      <c r="M407" s="13">
        <v>41730</v>
      </c>
      <c r="N407" s="14"/>
      <c r="O407" s="12"/>
      <c r="P407" s="15"/>
    </row>
    <row r="408" spans="1:16" ht="15.75" customHeight="1" x14ac:dyDescent="0.3">
      <c r="A408" s="6" t="s">
        <v>16</v>
      </c>
      <c r="B408" s="6" t="s">
        <v>22</v>
      </c>
      <c r="C408" s="7" t="s">
        <v>24</v>
      </c>
      <c r="D408" s="7" t="s">
        <v>34</v>
      </c>
      <c r="E408" s="6">
        <v>1666</v>
      </c>
      <c r="F408" s="7">
        <v>5</v>
      </c>
      <c r="G408" s="7">
        <v>350</v>
      </c>
      <c r="H408" s="7">
        <f t="shared" si="27"/>
        <v>583100</v>
      </c>
      <c r="I408" s="7">
        <f t="shared" si="24"/>
        <v>58310</v>
      </c>
      <c r="J408" s="7">
        <f t="shared" si="25"/>
        <v>524790</v>
      </c>
      <c r="K408" s="7">
        <v>433160</v>
      </c>
      <c r="L408" s="12">
        <f t="shared" si="26"/>
        <v>91630</v>
      </c>
      <c r="M408" s="8">
        <v>41760</v>
      </c>
      <c r="N408" s="9"/>
      <c r="O408" s="7"/>
      <c r="P408" s="10"/>
    </row>
    <row r="409" spans="1:16" ht="15.75" customHeight="1" x14ac:dyDescent="0.3">
      <c r="A409" s="11" t="s">
        <v>27</v>
      </c>
      <c r="B409" s="11" t="s">
        <v>22</v>
      </c>
      <c r="C409" s="12" t="s">
        <v>24</v>
      </c>
      <c r="D409" s="12" t="s">
        <v>34</v>
      </c>
      <c r="E409" s="11">
        <v>322</v>
      </c>
      <c r="F409" s="12">
        <v>5</v>
      </c>
      <c r="G409" s="12">
        <v>300</v>
      </c>
      <c r="H409" s="7">
        <f t="shared" si="27"/>
        <v>96600</v>
      </c>
      <c r="I409" s="7">
        <f t="shared" si="24"/>
        <v>9660</v>
      </c>
      <c r="J409" s="7">
        <f t="shared" si="25"/>
        <v>86940</v>
      </c>
      <c r="K409" s="12">
        <v>80500</v>
      </c>
      <c r="L409" s="12">
        <f t="shared" si="26"/>
        <v>6440</v>
      </c>
      <c r="M409" s="13">
        <v>41518</v>
      </c>
      <c r="N409" s="14"/>
      <c r="O409" s="12"/>
      <c r="P409" s="15"/>
    </row>
    <row r="410" spans="1:16" ht="15.75" customHeight="1" x14ac:dyDescent="0.3">
      <c r="A410" s="6" t="s">
        <v>25</v>
      </c>
      <c r="B410" s="6" t="s">
        <v>17</v>
      </c>
      <c r="C410" s="7" t="s">
        <v>24</v>
      </c>
      <c r="D410" s="7" t="s">
        <v>34</v>
      </c>
      <c r="E410" s="6">
        <v>2321</v>
      </c>
      <c r="F410" s="7">
        <v>5</v>
      </c>
      <c r="G410" s="7">
        <v>12</v>
      </c>
      <c r="H410" s="7">
        <f t="shared" si="27"/>
        <v>27852</v>
      </c>
      <c r="I410" s="7">
        <f t="shared" si="24"/>
        <v>2785.2000000000003</v>
      </c>
      <c r="J410" s="7">
        <f t="shared" si="25"/>
        <v>25066.799999999999</v>
      </c>
      <c r="K410" s="7">
        <v>6963</v>
      </c>
      <c r="L410" s="12">
        <f t="shared" si="26"/>
        <v>18103.8</v>
      </c>
      <c r="M410" s="8">
        <v>41944</v>
      </c>
      <c r="N410" s="9"/>
      <c r="O410" s="7"/>
      <c r="P410" s="10"/>
    </row>
    <row r="411" spans="1:16" ht="15.75" customHeight="1" x14ac:dyDescent="0.3">
      <c r="A411" s="11" t="s">
        <v>26</v>
      </c>
      <c r="B411" s="11" t="s">
        <v>22</v>
      </c>
      <c r="C411" s="12" t="s">
        <v>24</v>
      </c>
      <c r="D411" s="12" t="s">
        <v>34</v>
      </c>
      <c r="E411" s="11">
        <v>1857</v>
      </c>
      <c r="F411" s="12">
        <v>5</v>
      </c>
      <c r="G411" s="12">
        <v>125</v>
      </c>
      <c r="H411" s="7">
        <f t="shared" si="27"/>
        <v>232125</v>
      </c>
      <c r="I411" s="7">
        <f t="shared" si="24"/>
        <v>23212.5</v>
      </c>
      <c r="J411" s="7">
        <f t="shared" si="25"/>
        <v>208912.5</v>
      </c>
      <c r="K411" s="12">
        <v>222840</v>
      </c>
      <c r="L411" s="12">
        <f t="shared" si="26"/>
        <v>-13927.5</v>
      </c>
      <c r="M411" s="13">
        <v>41579</v>
      </c>
      <c r="N411" s="14"/>
      <c r="O411" s="12"/>
      <c r="P411" s="15"/>
    </row>
    <row r="412" spans="1:16" ht="15.75" customHeight="1" x14ac:dyDescent="0.3">
      <c r="A412" s="6" t="s">
        <v>16</v>
      </c>
      <c r="B412" s="6" t="s">
        <v>17</v>
      </c>
      <c r="C412" s="7" t="s">
        <v>24</v>
      </c>
      <c r="D412" s="7" t="s">
        <v>34</v>
      </c>
      <c r="E412" s="6">
        <v>1611</v>
      </c>
      <c r="F412" s="7">
        <v>5</v>
      </c>
      <c r="G412" s="7">
        <v>7</v>
      </c>
      <c r="H412" s="7">
        <f t="shared" si="27"/>
        <v>11277</v>
      </c>
      <c r="I412" s="7">
        <f t="shared" si="24"/>
        <v>1127.7</v>
      </c>
      <c r="J412" s="7">
        <f t="shared" si="25"/>
        <v>10149.299999999999</v>
      </c>
      <c r="K412" s="7">
        <v>8055</v>
      </c>
      <c r="L412" s="12">
        <f t="shared" si="26"/>
        <v>2094.2999999999993</v>
      </c>
      <c r="M412" s="8">
        <v>41609</v>
      </c>
      <c r="N412" s="9"/>
      <c r="O412" s="7"/>
      <c r="P412" s="10"/>
    </row>
    <row r="413" spans="1:16" ht="15.75" customHeight="1" x14ac:dyDescent="0.3">
      <c r="A413" s="11" t="s">
        <v>26</v>
      </c>
      <c r="B413" s="11" t="s">
        <v>28</v>
      </c>
      <c r="C413" s="12" t="s">
        <v>24</v>
      </c>
      <c r="D413" s="12" t="s">
        <v>34</v>
      </c>
      <c r="E413" s="11">
        <v>2797</v>
      </c>
      <c r="F413" s="12">
        <v>5</v>
      </c>
      <c r="G413" s="12">
        <v>125</v>
      </c>
      <c r="H413" s="7">
        <f t="shared" si="27"/>
        <v>349625</v>
      </c>
      <c r="I413" s="7">
        <f t="shared" si="24"/>
        <v>34962.5</v>
      </c>
      <c r="J413" s="7">
        <f t="shared" si="25"/>
        <v>314662.5</v>
      </c>
      <c r="K413" s="12">
        <v>335640</v>
      </c>
      <c r="L413" s="12">
        <f t="shared" si="26"/>
        <v>-20977.5</v>
      </c>
      <c r="M413" s="13">
        <v>41974</v>
      </c>
      <c r="N413" s="14"/>
      <c r="O413" s="12"/>
      <c r="P413" s="15"/>
    </row>
    <row r="414" spans="1:16" ht="15.75" customHeight="1" x14ac:dyDescent="0.3">
      <c r="A414" s="6" t="s">
        <v>27</v>
      </c>
      <c r="B414" s="6" t="s">
        <v>20</v>
      </c>
      <c r="C414" s="7" t="s">
        <v>24</v>
      </c>
      <c r="D414" s="7" t="s">
        <v>34</v>
      </c>
      <c r="E414" s="6">
        <v>334</v>
      </c>
      <c r="F414" s="7">
        <v>5</v>
      </c>
      <c r="G414" s="7">
        <v>300</v>
      </c>
      <c r="H414" s="7">
        <f t="shared" si="27"/>
        <v>100200</v>
      </c>
      <c r="I414" s="7">
        <f t="shared" si="24"/>
        <v>10020</v>
      </c>
      <c r="J414" s="7">
        <f t="shared" si="25"/>
        <v>90180</v>
      </c>
      <c r="K414" s="7">
        <v>83500</v>
      </c>
      <c r="L414" s="12">
        <f t="shared" si="26"/>
        <v>6680</v>
      </c>
      <c r="M414" s="8">
        <v>41609</v>
      </c>
      <c r="N414" s="9"/>
      <c r="O414" s="7"/>
      <c r="P414" s="10"/>
    </row>
    <row r="415" spans="1:16" ht="15.75" customHeight="1" x14ac:dyDescent="0.3">
      <c r="A415" s="11" t="s">
        <v>27</v>
      </c>
      <c r="B415" s="11" t="s">
        <v>23</v>
      </c>
      <c r="C415" s="12" t="s">
        <v>29</v>
      </c>
      <c r="D415" s="12" t="s">
        <v>34</v>
      </c>
      <c r="E415" s="11">
        <v>2565</v>
      </c>
      <c r="F415" s="12">
        <v>10</v>
      </c>
      <c r="G415" s="12">
        <v>300</v>
      </c>
      <c r="H415" s="7">
        <f t="shared" si="27"/>
        <v>769500</v>
      </c>
      <c r="I415" s="7">
        <f t="shared" si="24"/>
        <v>76950</v>
      </c>
      <c r="J415" s="7">
        <f t="shared" si="25"/>
        <v>692550</v>
      </c>
      <c r="K415" s="12">
        <v>641250</v>
      </c>
      <c r="L415" s="12">
        <f t="shared" si="26"/>
        <v>51300</v>
      </c>
      <c r="M415" s="13">
        <v>41640</v>
      </c>
      <c r="N415" s="14"/>
      <c r="O415" s="12"/>
      <c r="P415" s="15"/>
    </row>
    <row r="416" spans="1:16" ht="15.75" customHeight="1" x14ac:dyDescent="0.3">
      <c r="A416" s="6" t="s">
        <v>16</v>
      </c>
      <c r="B416" s="6" t="s">
        <v>23</v>
      </c>
      <c r="C416" s="7" t="s">
        <v>29</v>
      </c>
      <c r="D416" s="7" t="s">
        <v>34</v>
      </c>
      <c r="E416" s="6">
        <v>2417</v>
      </c>
      <c r="F416" s="7">
        <v>10</v>
      </c>
      <c r="G416" s="7">
        <v>350</v>
      </c>
      <c r="H416" s="7">
        <f t="shared" si="27"/>
        <v>845950</v>
      </c>
      <c r="I416" s="7">
        <f t="shared" si="24"/>
        <v>84595</v>
      </c>
      <c r="J416" s="7">
        <f t="shared" si="25"/>
        <v>761355</v>
      </c>
      <c r="K416" s="7">
        <v>628420</v>
      </c>
      <c r="L416" s="12">
        <f t="shared" si="26"/>
        <v>132935</v>
      </c>
      <c r="M416" s="8">
        <v>41640</v>
      </c>
      <c r="N416" s="9"/>
      <c r="O416" s="7"/>
      <c r="P416" s="10"/>
    </row>
    <row r="417" spans="1:16" ht="15.75" customHeight="1" x14ac:dyDescent="0.3">
      <c r="A417" s="11" t="s">
        <v>21</v>
      </c>
      <c r="B417" s="11" t="s">
        <v>28</v>
      </c>
      <c r="C417" s="12" t="s">
        <v>29</v>
      </c>
      <c r="D417" s="12" t="s">
        <v>34</v>
      </c>
      <c r="E417" s="11">
        <v>3675</v>
      </c>
      <c r="F417" s="12">
        <v>10</v>
      </c>
      <c r="G417" s="12">
        <v>15</v>
      </c>
      <c r="H417" s="7">
        <f t="shared" si="27"/>
        <v>55125</v>
      </c>
      <c r="I417" s="7">
        <f t="shared" si="24"/>
        <v>5512.5</v>
      </c>
      <c r="J417" s="7">
        <f t="shared" si="25"/>
        <v>49612.5</v>
      </c>
      <c r="K417" s="12">
        <v>36750</v>
      </c>
      <c r="L417" s="12">
        <f t="shared" si="26"/>
        <v>12862.5</v>
      </c>
      <c r="M417" s="13">
        <v>41730</v>
      </c>
      <c r="N417" s="14"/>
      <c r="O417" s="12"/>
      <c r="P417" s="15"/>
    </row>
    <row r="418" spans="1:16" ht="15.75" customHeight="1" x14ac:dyDescent="0.3">
      <c r="A418" s="6" t="s">
        <v>27</v>
      </c>
      <c r="B418" s="6" t="s">
        <v>17</v>
      </c>
      <c r="C418" s="7" t="s">
        <v>29</v>
      </c>
      <c r="D418" s="7" t="s">
        <v>34</v>
      </c>
      <c r="E418" s="6">
        <v>1094</v>
      </c>
      <c r="F418" s="7">
        <v>10</v>
      </c>
      <c r="G418" s="7">
        <v>300</v>
      </c>
      <c r="H418" s="7">
        <f t="shared" si="27"/>
        <v>328200</v>
      </c>
      <c r="I418" s="7">
        <f t="shared" si="24"/>
        <v>32820</v>
      </c>
      <c r="J418" s="7">
        <f t="shared" si="25"/>
        <v>295380</v>
      </c>
      <c r="K418" s="7">
        <v>273500</v>
      </c>
      <c r="L418" s="12">
        <f t="shared" si="26"/>
        <v>21880</v>
      </c>
      <c r="M418" s="8">
        <v>41791</v>
      </c>
      <c r="N418" s="9"/>
      <c r="O418" s="7"/>
      <c r="P418" s="10"/>
    </row>
    <row r="419" spans="1:16" ht="15.75" customHeight="1" x14ac:dyDescent="0.3">
      <c r="A419" s="11" t="s">
        <v>21</v>
      </c>
      <c r="B419" s="11" t="s">
        <v>22</v>
      </c>
      <c r="C419" s="12" t="s">
        <v>29</v>
      </c>
      <c r="D419" s="12" t="s">
        <v>34</v>
      </c>
      <c r="E419" s="11">
        <v>1227</v>
      </c>
      <c r="F419" s="12">
        <v>10</v>
      </c>
      <c r="G419" s="12">
        <v>15</v>
      </c>
      <c r="H419" s="7">
        <f t="shared" si="27"/>
        <v>18405</v>
      </c>
      <c r="I419" s="7">
        <f t="shared" si="24"/>
        <v>1840.5</v>
      </c>
      <c r="J419" s="7">
        <f t="shared" si="25"/>
        <v>16564.5</v>
      </c>
      <c r="K419" s="12">
        <v>12270</v>
      </c>
      <c r="L419" s="12">
        <f t="shared" si="26"/>
        <v>4294.5</v>
      </c>
      <c r="M419" s="13">
        <v>41913</v>
      </c>
      <c r="N419" s="14"/>
      <c r="O419" s="12"/>
      <c r="P419" s="15"/>
    </row>
    <row r="420" spans="1:16" ht="15.75" customHeight="1" x14ac:dyDescent="0.3">
      <c r="A420" s="6" t="s">
        <v>25</v>
      </c>
      <c r="B420" s="6" t="s">
        <v>23</v>
      </c>
      <c r="C420" s="7" t="s">
        <v>29</v>
      </c>
      <c r="D420" s="7" t="s">
        <v>34</v>
      </c>
      <c r="E420" s="6">
        <v>367</v>
      </c>
      <c r="F420" s="7">
        <v>10</v>
      </c>
      <c r="G420" s="7">
        <v>12</v>
      </c>
      <c r="H420" s="7">
        <f t="shared" si="27"/>
        <v>4404</v>
      </c>
      <c r="I420" s="7">
        <f t="shared" si="24"/>
        <v>440.40000000000003</v>
      </c>
      <c r="J420" s="7">
        <f t="shared" si="25"/>
        <v>3963.6</v>
      </c>
      <c r="K420" s="7">
        <v>1101</v>
      </c>
      <c r="L420" s="12">
        <f t="shared" si="26"/>
        <v>2862.6</v>
      </c>
      <c r="M420" s="8">
        <v>41548</v>
      </c>
      <c r="N420" s="9"/>
      <c r="O420" s="7"/>
      <c r="P420" s="10"/>
    </row>
    <row r="421" spans="1:16" ht="15.75" customHeight="1" x14ac:dyDescent="0.3">
      <c r="A421" s="11" t="s">
        <v>27</v>
      </c>
      <c r="B421" s="11" t="s">
        <v>22</v>
      </c>
      <c r="C421" s="12" t="s">
        <v>29</v>
      </c>
      <c r="D421" s="12" t="s">
        <v>34</v>
      </c>
      <c r="E421" s="11">
        <v>1324</v>
      </c>
      <c r="F421" s="12">
        <v>10</v>
      </c>
      <c r="G421" s="12">
        <v>300</v>
      </c>
      <c r="H421" s="7">
        <f t="shared" si="27"/>
        <v>397200</v>
      </c>
      <c r="I421" s="7">
        <f t="shared" si="24"/>
        <v>39720</v>
      </c>
      <c r="J421" s="7">
        <f t="shared" si="25"/>
        <v>357480</v>
      </c>
      <c r="K421" s="12">
        <v>331000</v>
      </c>
      <c r="L421" s="12">
        <f t="shared" si="26"/>
        <v>26480</v>
      </c>
      <c r="M421" s="13">
        <v>41944</v>
      </c>
      <c r="N421" s="14"/>
      <c r="O421" s="12"/>
      <c r="P421" s="15"/>
    </row>
    <row r="422" spans="1:16" ht="15.75" customHeight="1" x14ac:dyDescent="0.3">
      <c r="A422" s="6" t="s">
        <v>25</v>
      </c>
      <c r="B422" s="6" t="s">
        <v>20</v>
      </c>
      <c r="C422" s="7" t="s">
        <v>29</v>
      </c>
      <c r="D422" s="7" t="s">
        <v>34</v>
      </c>
      <c r="E422" s="6">
        <v>1775</v>
      </c>
      <c r="F422" s="7">
        <v>10</v>
      </c>
      <c r="G422" s="7">
        <v>12</v>
      </c>
      <c r="H422" s="7">
        <f t="shared" si="27"/>
        <v>21300</v>
      </c>
      <c r="I422" s="7">
        <f t="shared" si="24"/>
        <v>2130</v>
      </c>
      <c r="J422" s="7">
        <f t="shared" si="25"/>
        <v>19170</v>
      </c>
      <c r="K422" s="7">
        <v>5325</v>
      </c>
      <c r="L422" s="12">
        <f t="shared" si="26"/>
        <v>13845</v>
      </c>
      <c r="M422" s="8">
        <v>41579</v>
      </c>
      <c r="N422" s="9"/>
      <c r="O422" s="7"/>
      <c r="P422" s="10"/>
    </row>
    <row r="423" spans="1:16" ht="15.75" customHeight="1" x14ac:dyDescent="0.3">
      <c r="A423" s="11" t="s">
        <v>26</v>
      </c>
      <c r="B423" s="11" t="s">
        <v>28</v>
      </c>
      <c r="C423" s="12" t="s">
        <v>29</v>
      </c>
      <c r="D423" s="12" t="s">
        <v>34</v>
      </c>
      <c r="E423" s="11">
        <v>2797</v>
      </c>
      <c r="F423" s="12">
        <v>10</v>
      </c>
      <c r="G423" s="12">
        <v>125</v>
      </c>
      <c r="H423" s="7">
        <f t="shared" si="27"/>
        <v>349625</v>
      </c>
      <c r="I423" s="7">
        <f t="shared" si="24"/>
        <v>34962.5</v>
      </c>
      <c r="J423" s="7">
        <f t="shared" si="25"/>
        <v>314662.5</v>
      </c>
      <c r="K423" s="12">
        <v>335640</v>
      </c>
      <c r="L423" s="12">
        <f t="shared" si="26"/>
        <v>-20977.5</v>
      </c>
      <c r="M423" s="13">
        <v>41974</v>
      </c>
      <c r="N423" s="14"/>
      <c r="O423" s="12"/>
      <c r="P423" s="15"/>
    </row>
    <row r="424" spans="1:16" ht="15.75" customHeight="1" x14ac:dyDescent="0.3">
      <c r="A424" s="6" t="s">
        <v>21</v>
      </c>
      <c r="B424" s="6" t="s">
        <v>23</v>
      </c>
      <c r="C424" s="7" t="s">
        <v>30</v>
      </c>
      <c r="D424" s="7" t="s">
        <v>34</v>
      </c>
      <c r="E424" s="6">
        <v>245</v>
      </c>
      <c r="F424" s="7">
        <v>120</v>
      </c>
      <c r="G424" s="7">
        <v>15</v>
      </c>
      <c r="H424" s="7">
        <f t="shared" si="27"/>
        <v>3675</v>
      </c>
      <c r="I424" s="7">
        <f t="shared" si="24"/>
        <v>367.5</v>
      </c>
      <c r="J424" s="7">
        <f t="shared" si="25"/>
        <v>3307.5</v>
      </c>
      <c r="K424" s="7">
        <v>2450</v>
      </c>
      <c r="L424" s="12">
        <f t="shared" si="26"/>
        <v>857.5</v>
      </c>
      <c r="M424" s="8">
        <v>41760</v>
      </c>
      <c r="N424" s="9"/>
      <c r="O424" s="7"/>
      <c r="P424" s="10"/>
    </row>
    <row r="425" spans="1:16" ht="15.75" customHeight="1" x14ac:dyDescent="0.3">
      <c r="A425" s="11" t="s">
        <v>27</v>
      </c>
      <c r="B425" s="11" t="s">
        <v>17</v>
      </c>
      <c r="C425" s="12" t="s">
        <v>30</v>
      </c>
      <c r="D425" s="12" t="s">
        <v>34</v>
      </c>
      <c r="E425" s="11">
        <v>3793.5</v>
      </c>
      <c r="F425" s="12">
        <v>120</v>
      </c>
      <c r="G425" s="12">
        <v>300</v>
      </c>
      <c r="H425" s="7">
        <f t="shared" si="27"/>
        <v>1138050</v>
      </c>
      <c r="I425" s="7">
        <f t="shared" si="24"/>
        <v>113805</v>
      </c>
      <c r="J425" s="7">
        <f t="shared" si="25"/>
        <v>1024245</v>
      </c>
      <c r="K425" s="12">
        <v>948375</v>
      </c>
      <c r="L425" s="12">
        <f t="shared" si="26"/>
        <v>75870</v>
      </c>
      <c r="M425" s="13">
        <v>41821</v>
      </c>
      <c r="N425" s="14"/>
      <c r="O425" s="12"/>
      <c r="P425" s="15"/>
    </row>
    <row r="426" spans="1:16" ht="15.75" customHeight="1" x14ac:dyDescent="0.3">
      <c r="A426" s="6" t="s">
        <v>16</v>
      </c>
      <c r="B426" s="6" t="s">
        <v>20</v>
      </c>
      <c r="C426" s="7" t="s">
        <v>30</v>
      </c>
      <c r="D426" s="7" t="s">
        <v>34</v>
      </c>
      <c r="E426" s="6">
        <v>1307</v>
      </c>
      <c r="F426" s="7">
        <v>120</v>
      </c>
      <c r="G426" s="7">
        <v>350</v>
      </c>
      <c r="H426" s="7">
        <f t="shared" si="27"/>
        <v>457450</v>
      </c>
      <c r="I426" s="7">
        <f t="shared" si="24"/>
        <v>45745</v>
      </c>
      <c r="J426" s="7">
        <f t="shared" si="25"/>
        <v>411705</v>
      </c>
      <c r="K426" s="7">
        <v>339820</v>
      </c>
      <c r="L426" s="12">
        <f t="shared" si="26"/>
        <v>71885</v>
      </c>
      <c r="M426" s="8">
        <v>41821</v>
      </c>
      <c r="N426" s="9"/>
      <c r="O426" s="7"/>
      <c r="P426" s="10"/>
    </row>
    <row r="427" spans="1:16" ht="15.75" customHeight="1" x14ac:dyDescent="0.3">
      <c r="A427" s="11" t="s">
        <v>26</v>
      </c>
      <c r="B427" s="11" t="s">
        <v>17</v>
      </c>
      <c r="C427" s="12" t="s">
        <v>30</v>
      </c>
      <c r="D427" s="12" t="s">
        <v>34</v>
      </c>
      <c r="E427" s="11">
        <v>567</v>
      </c>
      <c r="F427" s="12">
        <v>120</v>
      </c>
      <c r="G427" s="12">
        <v>125</v>
      </c>
      <c r="H427" s="7">
        <f t="shared" si="27"/>
        <v>70875</v>
      </c>
      <c r="I427" s="7">
        <f t="shared" si="24"/>
        <v>7087.5</v>
      </c>
      <c r="J427" s="7">
        <f t="shared" si="25"/>
        <v>63787.5</v>
      </c>
      <c r="K427" s="12">
        <v>68040</v>
      </c>
      <c r="L427" s="12">
        <f t="shared" si="26"/>
        <v>-4252.5</v>
      </c>
      <c r="M427" s="13">
        <v>41883</v>
      </c>
      <c r="N427" s="14"/>
      <c r="O427" s="12"/>
      <c r="P427" s="15"/>
    </row>
    <row r="428" spans="1:16" ht="15.75" customHeight="1" x14ac:dyDescent="0.3">
      <c r="A428" s="6" t="s">
        <v>26</v>
      </c>
      <c r="B428" s="6" t="s">
        <v>23</v>
      </c>
      <c r="C428" s="7" t="s">
        <v>30</v>
      </c>
      <c r="D428" s="7" t="s">
        <v>34</v>
      </c>
      <c r="E428" s="6">
        <v>2110</v>
      </c>
      <c r="F428" s="7">
        <v>120</v>
      </c>
      <c r="G428" s="7">
        <v>125</v>
      </c>
      <c r="H428" s="7">
        <f t="shared" si="27"/>
        <v>263750</v>
      </c>
      <c r="I428" s="7">
        <f t="shared" si="24"/>
        <v>26375</v>
      </c>
      <c r="J428" s="7">
        <f t="shared" si="25"/>
        <v>237375</v>
      </c>
      <c r="K428" s="7">
        <v>253200</v>
      </c>
      <c r="L428" s="12">
        <f t="shared" si="26"/>
        <v>-15825</v>
      </c>
      <c r="M428" s="8">
        <v>41883</v>
      </c>
      <c r="N428" s="9"/>
      <c r="O428" s="7"/>
      <c r="P428" s="10"/>
    </row>
    <row r="429" spans="1:16" ht="15.75" customHeight="1" x14ac:dyDescent="0.3">
      <c r="A429" s="11" t="s">
        <v>16</v>
      </c>
      <c r="B429" s="11" t="s">
        <v>17</v>
      </c>
      <c r="C429" s="12" t="s">
        <v>30</v>
      </c>
      <c r="D429" s="12" t="s">
        <v>34</v>
      </c>
      <c r="E429" s="11">
        <v>1269</v>
      </c>
      <c r="F429" s="12">
        <v>120</v>
      </c>
      <c r="G429" s="12">
        <v>350</v>
      </c>
      <c r="H429" s="7">
        <f t="shared" si="27"/>
        <v>444150</v>
      </c>
      <c r="I429" s="7">
        <f t="shared" si="24"/>
        <v>44415</v>
      </c>
      <c r="J429" s="7">
        <f t="shared" si="25"/>
        <v>399735</v>
      </c>
      <c r="K429" s="12">
        <v>329940</v>
      </c>
      <c r="L429" s="12">
        <f t="shared" si="26"/>
        <v>69795</v>
      </c>
      <c r="M429" s="13">
        <v>41913</v>
      </c>
      <c r="N429" s="14"/>
      <c r="O429" s="12"/>
      <c r="P429" s="15"/>
    </row>
    <row r="430" spans="1:16" ht="15.75" customHeight="1" x14ac:dyDescent="0.3">
      <c r="A430" s="6" t="s">
        <v>25</v>
      </c>
      <c r="B430" s="6" t="s">
        <v>28</v>
      </c>
      <c r="C430" s="7" t="s">
        <v>31</v>
      </c>
      <c r="D430" s="7" t="s">
        <v>34</v>
      </c>
      <c r="E430" s="6">
        <v>1956</v>
      </c>
      <c r="F430" s="7">
        <v>250</v>
      </c>
      <c r="G430" s="7">
        <v>12</v>
      </c>
      <c r="H430" s="7">
        <f t="shared" si="27"/>
        <v>23472</v>
      </c>
      <c r="I430" s="7">
        <f t="shared" si="24"/>
        <v>2347.2000000000003</v>
      </c>
      <c r="J430" s="7">
        <f t="shared" si="25"/>
        <v>21124.799999999999</v>
      </c>
      <c r="K430" s="7">
        <v>5868</v>
      </c>
      <c r="L430" s="12">
        <f t="shared" si="26"/>
        <v>15256.8</v>
      </c>
      <c r="M430" s="8">
        <v>41640</v>
      </c>
      <c r="N430" s="9"/>
      <c r="O430" s="7"/>
      <c r="P430" s="10"/>
    </row>
    <row r="431" spans="1:16" ht="15.75" customHeight="1" x14ac:dyDescent="0.3">
      <c r="A431" s="11" t="s">
        <v>27</v>
      </c>
      <c r="B431" s="11" t="s">
        <v>20</v>
      </c>
      <c r="C431" s="12" t="s">
        <v>31</v>
      </c>
      <c r="D431" s="12" t="s">
        <v>34</v>
      </c>
      <c r="E431" s="11">
        <v>2659</v>
      </c>
      <c r="F431" s="12">
        <v>250</v>
      </c>
      <c r="G431" s="12">
        <v>300</v>
      </c>
      <c r="H431" s="7">
        <f t="shared" si="27"/>
        <v>797700</v>
      </c>
      <c r="I431" s="7">
        <f t="shared" si="24"/>
        <v>79770</v>
      </c>
      <c r="J431" s="7">
        <f t="shared" si="25"/>
        <v>717930</v>
      </c>
      <c r="K431" s="12">
        <v>664750</v>
      </c>
      <c r="L431" s="12">
        <f t="shared" si="26"/>
        <v>53180</v>
      </c>
      <c r="M431" s="13">
        <v>41671</v>
      </c>
      <c r="N431" s="14"/>
      <c r="O431" s="12"/>
      <c r="P431" s="15"/>
    </row>
    <row r="432" spans="1:16" ht="15.75" customHeight="1" x14ac:dyDescent="0.3">
      <c r="A432" s="6" t="s">
        <v>16</v>
      </c>
      <c r="B432" s="6" t="s">
        <v>28</v>
      </c>
      <c r="C432" s="7" t="s">
        <v>31</v>
      </c>
      <c r="D432" s="7" t="s">
        <v>34</v>
      </c>
      <c r="E432" s="6">
        <v>1351.5</v>
      </c>
      <c r="F432" s="7">
        <v>250</v>
      </c>
      <c r="G432" s="7">
        <v>350</v>
      </c>
      <c r="H432" s="7">
        <f t="shared" si="27"/>
        <v>473025</v>
      </c>
      <c r="I432" s="7">
        <f t="shared" si="24"/>
        <v>47302.5</v>
      </c>
      <c r="J432" s="7">
        <f t="shared" si="25"/>
        <v>425722.5</v>
      </c>
      <c r="K432" s="7">
        <v>351390</v>
      </c>
      <c r="L432" s="12">
        <f t="shared" si="26"/>
        <v>74332.5</v>
      </c>
      <c r="M432" s="8">
        <v>41730</v>
      </c>
      <c r="N432" s="9"/>
      <c r="O432" s="7"/>
      <c r="P432" s="10"/>
    </row>
    <row r="433" spans="1:16" ht="15.75" customHeight="1" x14ac:dyDescent="0.3">
      <c r="A433" s="11" t="s">
        <v>25</v>
      </c>
      <c r="B433" s="11" t="s">
        <v>20</v>
      </c>
      <c r="C433" s="12" t="s">
        <v>31</v>
      </c>
      <c r="D433" s="12" t="s">
        <v>34</v>
      </c>
      <c r="E433" s="11">
        <v>880</v>
      </c>
      <c r="F433" s="12">
        <v>250</v>
      </c>
      <c r="G433" s="12">
        <v>12</v>
      </c>
      <c r="H433" s="7">
        <f t="shared" si="27"/>
        <v>10560</v>
      </c>
      <c r="I433" s="7">
        <f t="shared" si="24"/>
        <v>1056</v>
      </c>
      <c r="J433" s="7">
        <f t="shared" si="25"/>
        <v>9504</v>
      </c>
      <c r="K433" s="12">
        <v>2640</v>
      </c>
      <c r="L433" s="12">
        <f t="shared" si="26"/>
        <v>6864</v>
      </c>
      <c r="M433" s="13">
        <v>41760</v>
      </c>
      <c r="N433" s="14"/>
      <c r="O433" s="12"/>
      <c r="P433" s="15"/>
    </row>
    <row r="434" spans="1:16" ht="15.75" customHeight="1" x14ac:dyDescent="0.3">
      <c r="A434" s="6" t="s">
        <v>27</v>
      </c>
      <c r="B434" s="6" t="s">
        <v>28</v>
      </c>
      <c r="C434" s="7" t="s">
        <v>31</v>
      </c>
      <c r="D434" s="7" t="s">
        <v>34</v>
      </c>
      <c r="E434" s="6">
        <v>1867</v>
      </c>
      <c r="F434" s="7">
        <v>250</v>
      </c>
      <c r="G434" s="7">
        <v>300</v>
      </c>
      <c r="H434" s="7">
        <f t="shared" si="27"/>
        <v>560100</v>
      </c>
      <c r="I434" s="7">
        <f t="shared" si="24"/>
        <v>56010</v>
      </c>
      <c r="J434" s="7">
        <f t="shared" si="25"/>
        <v>504090</v>
      </c>
      <c r="K434" s="7">
        <v>466750</v>
      </c>
      <c r="L434" s="12">
        <f t="shared" si="26"/>
        <v>37340</v>
      </c>
      <c r="M434" s="8">
        <v>41883</v>
      </c>
      <c r="N434" s="9"/>
      <c r="O434" s="7"/>
      <c r="P434" s="10"/>
    </row>
    <row r="435" spans="1:16" ht="15.75" customHeight="1" x14ac:dyDescent="0.3">
      <c r="A435" s="11" t="s">
        <v>25</v>
      </c>
      <c r="B435" s="11" t="s">
        <v>22</v>
      </c>
      <c r="C435" s="12" t="s">
        <v>31</v>
      </c>
      <c r="D435" s="12" t="s">
        <v>34</v>
      </c>
      <c r="E435" s="11">
        <v>2234</v>
      </c>
      <c r="F435" s="12">
        <v>250</v>
      </c>
      <c r="G435" s="12">
        <v>12</v>
      </c>
      <c r="H435" s="7">
        <f t="shared" si="27"/>
        <v>26808</v>
      </c>
      <c r="I435" s="7">
        <f t="shared" si="24"/>
        <v>2680.8</v>
      </c>
      <c r="J435" s="7">
        <f t="shared" si="25"/>
        <v>24127.200000000001</v>
      </c>
      <c r="K435" s="12">
        <v>6702</v>
      </c>
      <c r="L435" s="12">
        <f t="shared" si="26"/>
        <v>17425.2</v>
      </c>
      <c r="M435" s="13">
        <v>41518</v>
      </c>
      <c r="N435" s="14"/>
      <c r="O435" s="12"/>
      <c r="P435" s="15"/>
    </row>
    <row r="436" spans="1:16" ht="15.75" customHeight="1" x14ac:dyDescent="0.3">
      <c r="A436" s="6" t="s">
        <v>21</v>
      </c>
      <c r="B436" s="6" t="s">
        <v>22</v>
      </c>
      <c r="C436" s="7" t="s">
        <v>31</v>
      </c>
      <c r="D436" s="7" t="s">
        <v>34</v>
      </c>
      <c r="E436" s="6">
        <v>1227</v>
      </c>
      <c r="F436" s="7">
        <v>250</v>
      </c>
      <c r="G436" s="7">
        <v>15</v>
      </c>
      <c r="H436" s="7">
        <f t="shared" si="27"/>
        <v>18405</v>
      </c>
      <c r="I436" s="7">
        <f t="shared" si="24"/>
        <v>1840.5</v>
      </c>
      <c r="J436" s="7">
        <f t="shared" si="25"/>
        <v>16564.5</v>
      </c>
      <c r="K436" s="7">
        <v>12270</v>
      </c>
      <c r="L436" s="12">
        <f t="shared" si="26"/>
        <v>4294.5</v>
      </c>
      <c r="M436" s="8">
        <v>41913</v>
      </c>
      <c r="N436" s="9"/>
      <c r="O436" s="7"/>
      <c r="P436" s="10"/>
    </row>
    <row r="437" spans="1:16" ht="15.75" customHeight="1" x14ac:dyDescent="0.3">
      <c r="A437" s="11" t="s">
        <v>26</v>
      </c>
      <c r="B437" s="11" t="s">
        <v>23</v>
      </c>
      <c r="C437" s="12" t="s">
        <v>31</v>
      </c>
      <c r="D437" s="12" t="s">
        <v>34</v>
      </c>
      <c r="E437" s="11">
        <v>877</v>
      </c>
      <c r="F437" s="12">
        <v>250</v>
      </c>
      <c r="G437" s="12">
        <v>125</v>
      </c>
      <c r="H437" s="7">
        <f t="shared" si="27"/>
        <v>109625</v>
      </c>
      <c r="I437" s="7">
        <f t="shared" si="24"/>
        <v>10962.5</v>
      </c>
      <c r="J437" s="7">
        <f t="shared" si="25"/>
        <v>98662.5</v>
      </c>
      <c r="K437" s="12">
        <v>105240</v>
      </c>
      <c r="L437" s="12">
        <f t="shared" si="26"/>
        <v>-6577.5</v>
      </c>
      <c r="M437" s="13">
        <v>41944</v>
      </c>
      <c r="N437" s="14"/>
      <c r="O437" s="12"/>
      <c r="P437" s="15"/>
    </row>
    <row r="438" spans="1:16" ht="15.75" customHeight="1" x14ac:dyDescent="0.3">
      <c r="A438" s="6" t="s">
        <v>16</v>
      </c>
      <c r="B438" s="6" t="s">
        <v>28</v>
      </c>
      <c r="C438" s="7" t="s">
        <v>32</v>
      </c>
      <c r="D438" s="7" t="s">
        <v>34</v>
      </c>
      <c r="E438" s="6">
        <v>2071</v>
      </c>
      <c r="F438" s="7">
        <v>260</v>
      </c>
      <c r="G438" s="7">
        <v>350</v>
      </c>
      <c r="H438" s="7">
        <f t="shared" si="27"/>
        <v>724850</v>
      </c>
      <c r="I438" s="7">
        <f t="shared" si="24"/>
        <v>72485</v>
      </c>
      <c r="J438" s="7">
        <f t="shared" si="25"/>
        <v>652365</v>
      </c>
      <c r="K438" s="7">
        <v>538460</v>
      </c>
      <c r="L438" s="12">
        <f t="shared" si="26"/>
        <v>113905</v>
      </c>
      <c r="M438" s="8">
        <v>41883</v>
      </c>
      <c r="N438" s="9"/>
      <c r="O438" s="7"/>
      <c r="P438" s="10"/>
    </row>
    <row r="439" spans="1:16" ht="15.75" customHeight="1" x14ac:dyDescent="0.3">
      <c r="A439" s="11" t="s">
        <v>16</v>
      </c>
      <c r="B439" s="11" t="s">
        <v>17</v>
      </c>
      <c r="C439" s="12" t="s">
        <v>32</v>
      </c>
      <c r="D439" s="12" t="s">
        <v>34</v>
      </c>
      <c r="E439" s="11">
        <v>1269</v>
      </c>
      <c r="F439" s="12">
        <v>260</v>
      </c>
      <c r="G439" s="12">
        <v>350</v>
      </c>
      <c r="H439" s="7">
        <f t="shared" si="27"/>
        <v>444150</v>
      </c>
      <c r="I439" s="7">
        <f t="shared" si="24"/>
        <v>44415</v>
      </c>
      <c r="J439" s="7">
        <f t="shared" si="25"/>
        <v>399735</v>
      </c>
      <c r="K439" s="12">
        <v>329940</v>
      </c>
      <c r="L439" s="12">
        <f t="shared" si="26"/>
        <v>69795</v>
      </c>
      <c r="M439" s="13">
        <v>41913</v>
      </c>
      <c r="N439" s="14"/>
      <c r="O439" s="12"/>
      <c r="P439" s="15"/>
    </row>
    <row r="440" spans="1:16" ht="15.75" customHeight="1" x14ac:dyDescent="0.3">
      <c r="A440" s="6" t="s">
        <v>21</v>
      </c>
      <c r="B440" s="6" t="s">
        <v>20</v>
      </c>
      <c r="C440" s="7" t="s">
        <v>32</v>
      </c>
      <c r="D440" s="7" t="s">
        <v>34</v>
      </c>
      <c r="E440" s="6">
        <v>970</v>
      </c>
      <c r="F440" s="7">
        <v>260</v>
      </c>
      <c r="G440" s="7">
        <v>15</v>
      </c>
      <c r="H440" s="7">
        <f t="shared" si="27"/>
        <v>14550</v>
      </c>
      <c r="I440" s="7">
        <f t="shared" si="24"/>
        <v>1455</v>
      </c>
      <c r="J440" s="7">
        <f t="shared" si="25"/>
        <v>13095</v>
      </c>
      <c r="K440" s="7">
        <v>9700</v>
      </c>
      <c r="L440" s="12">
        <f t="shared" si="26"/>
        <v>3395</v>
      </c>
      <c r="M440" s="8">
        <v>41579</v>
      </c>
      <c r="N440" s="9"/>
      <c r="O440" s="7"/>
      <c r="P440" s="10"/>
    </row>
    <row r="441" spans="1:16" ht="15.75" customHeight="1" x14ac:dyDescent="0.3">
      <c r="A441" s="11" t="s">
        <v>16</v>
      </c>
      <c r="B441" s="11" t="s">
        <v>23</v>
      </c>
      <c r="C441" s="12" t="s">
        <v>32</v>
      </c>
      <c r="D441" s="12" t="s">
        <v>34</v>
      </c>
      <c r="E441" s="11">
        <v>1694</v>
      </c>
      <c r="F441" s="12">
        <v>260</v>
      </c>
      <c r="G441" s="12">
        <v>20</v>
      </c>
      <c r="H441" s="7">
        <f t="shared" si="27"/>
        <v>33880</v>
      </c>
      <c r="I441" s="7">
        <f t="shared" si="24"/>
        <v>3388</v>
      </c>
      <c r="J441" s="7">
        <f t="shared" si="25"/>
        <v>30492</v>
      </c>
      <c r="K441" s="12">
        <v>16940</v>
      </c>
      <c r="L441" s="12">
        <f t="shared" si="26"/>
        <v>13552</v>
      </c>
      <c r="M441" s="13">
        <v>41944</v>
      </c>
      <c r="N441" s="14"/>
      <c r="O441" s="12"/>
      <c r="P441" s="15"/>
    </row>
    <row r="442" spans="1:16" ht="15.75" customHeight="1" x14ac:dyDescent="0.3">
      <c r="A442" s="6" t="s">
        <v>16</v>
      </c>
      <c r="B442" s="6" t="s">
        <v>20</v>
      </c>
      <c r="C442" s="7" t="s">
        <v>18</v>
      </c>
      <c r="D442" s="7" t="s">
        <v>34</v>
      </c>
      <c r="E442" s="6">
        <v>663</v>
      </c>
      <c r="F442" s="7">
        <v>3</v>
      </c>
      <c r="G442" s="7">
        <v>20</v>
      </c>
      <c r="H442" s="7">
        <f t="shared" si="27"/>
        <v>13260</v>
      </c>
      <c r="I442" s="7">
        <f t="shared" si="24"/>
        <v>1326</v>
      </c>
      <c r="J442" s="7">
        <f t="shared" si="25"/>
        <v>11934</v>
      </c>
      <c r="K442" s="7">
        <v>6630</v>
      </c>
      <c r="L442" s="12">
        <f t="shared" si="26"/>
        <v>5304</v>
      </c>
      <c r="M442" s="8">
        <v>41760</v>
      </c>
      <c r="N442" s="9"/>
      <c r="O442" s="7"/>
      <c r="P442" s="10"/>
    </row>
    <row r="443" spans="1:16" ht="15.75" customHeight="1" x14ac:dyDescent="0.3">
      <c r="A443" s="11" t="s">
        <v>16</v>
      </c>
      <c r="B443" s="11" t="s">
        <v>17</v>
      </c>
      <c r="C443" s="12" t="s">
        <v>18</v>
      </c>
      <c r="D443" s="12" t="s">
        <v>34</v>
      </c>
      <c r="E443" s="11">
        <v>819</v>
      </c>
      <c r="F443" s="12">
        <v>3</v>
      </c>
      <c r="G443" s="12">
        <v>7</v>
      </c>
      <c r="H443" s="7">
        <f t="shared" si="27"/>
        <v>5733</v>
      </c>
      <c r="I443" s="7">
        <f t="shared" si="24"/>
        <v>573.30000000000007</v>
      </c>
      <c r="J443" s="7">
        <f t="shared" si="25"/>
        <v>5159.7</v>
      </c>
      <c r="K443" s="12">
        <v>4095</v>
      </c>
      <c r="L443" s="12">
        <f t="shared" si="26"/>
        <v>1064.6999999999998</v>
      </c>
      <c r="M443" s="13">
        <v>41821</v>
      </c>
      <c r="N443" s="14"/>
      <c r="O443" s="12"/>
      <c r="P443" s="15"/>
    </row>
    <row r="444" spans="1:16" ht="15.75" customHeight="1" x14ac:dyDescent="0.3">
      <c r="A444" s="6" t="s">
        <v>25</v>
      </c>
      <c r="B444" s="6" t="s">
        <v>20</v>
      </c>
      <c r="C444" s="7" t="s">
        <v>18</v>
      </c>
      <c r="D444" s="7" t="s">
        <v>34</v>
      </c>
      <c r="E444" s="6">
        <v>1580</v>
      </c>
      <c r="F444" s="7">
        <v>3</v>
      </c>
      <c r="G444" s="7">
        <v>12</v>
      </c>
      <c r="H444" s="7">
        <f t="shared" si="27"/>
        <v>18960</v>
      </c>
      <c r="I444" s="7">
        <f t="shared" si="24"/>
        <v>1896</v>
      </c>
      <c r="J444" s="7">
        <f t="shared" si="25"/>
        <v>17064</v>
      </c>
      <c r="K444" s="7">
        <v>4740</v>
      </c>
      <c r="L444" s="12">
        <f t="shared" si="26"/>
        <v>12324</v>
      </c>
      <c r="M444" s="8">
        <v>41883</v>
      </c>
      <c r="N444" s="9"/>
      <c r="O444" s="7"/>
      <c r="P444" s="10"/>
    </row>
    <row r="445" spans="1:16" ht="15.75" customHeight="1" x14ac:dyDescent="0.3">
      <c r="A445" s="11" t="s">
        <v>16</v>
      </c>
      <c r="B445" s="11" t="s">
        <v>23</v>
      </c>
      <c r="C445" s="12" t="s">
        <v>18</v>
      </c>
      <c r="D445" s="12" t="s">
        <v>34</v>
      </c>
      <c r="E445" s="11">
        <v>521</v>
      </c>
      <c r="F445" s="12">
        <v>3</v>
      </c>
      <c r="G445" s="12">
        <v>7</v>
      </c>
      <c r="H445" s="7">
        <f t="shared" si="27"/>
        <v>3647</v>
      </c>
      <c r="I445" s="7">
        <f t="shared" si="24"/>
        <v>364.70000000000005</v>
      </c>
      <c r="J445" s="7">
        <f t="shared" si="25"/>
        <v>3282.3</v>
      </c>
      <c r="K445" s="12">
        <v>2605</v>
      </c>
      <c r="L445" s="12">
        <f t="shared" si="26"/>
        <v>677.30000000000018</v>
      </c>
      <c r="M445" s="13">
        <v>41974</v>
      </c>
      <c r="N445" s="14"/>
      <c r="O445" s="12"/>
      <c r="P445" s="15"/>
    </row>
    <row r="446" spans="1:16" ht="15.75" customHeight="1" x14ac:dyDescent="0.3">
      <c r="A446" s="6" t="s">
        <v>16</v>
      </c>
      <c r="B446" s="6" t="s">
        <v>28</v>
      </c>
      <c r="C446" s="7" t="s">
        <v>29</v>
      </c>
      <c r="D446" s="7" t="s">
        <v>34</v>
      </c>
      <c r="E446" s="6">
        <v>973</v>
      </c>
      <c r="F446" s="7">
        <v>10</v>
      </c>
      <c r="G446" s="7">
        <v>20</v>
      </c>
      <c r="H446" s="7">
        <f t="shared" si="27"/>
        <v>19460</v>
      </c>
      <c r="I446" s="7">
        <f t="shared" si="24"/>
        <v>1946</v>
      </c>
      <c r="J446" s="7">
        <f t="shared" si="25"/>
        <v>17514</v>
      </c>
      <c r="K446" s="7">
        <v>9730</v>
      </c>
      <c r="L446" s="12">
        <f t="shared" si="26"/>
        <v>7784</v>
      </c>
      <c r="M446" s="8">
        <v>41699</v>
      </c>
      <c r="N446" s="9"/>
      <c r="O446" s="7"/>
      <c r="P446" s="10"/>
    </row>
    <row r="447" spans="1:16" ht="15.75" customHeight="1" x14ac:dyDescent="0.3">
      <c r="A447" s="11" t="s">
        <v>16</v>
      </c>
      <c r="B447" s="11" t="s">
        <v>23</v>
      </c>
      <c r="C447" s="12" t="s">
        <v>29</v>
      </c>
      <c r="D447" s="12" t="s">
        <v>34</v>
      </c>
      <c r="E447" s="11">
        <v>1038</v>
      </c>
      <c r="F447" s="12">
        <v>10</v>
      </c>
      <c r="G447" s="12">
        <v>20</v>
      </c>
      <c r="H447" s="7">
        <f t="shared" si="27"/>
        <v>20760</v>
      </c>
      <c r="I447" s="7">
        <f t="shared" si="24"/>
        <v>2076</v>
      </c>
      <c r="J447" s="7">
        <f t="shared" si="25"/>
        <v>18684</v>
      </c>
      <c r="K447" s="12">
        <v>10380</v>
      </c>
      <c r="L447" s="12">
        <f t="shared" si="26"/>
        <v>8304</v>
      </c>
      <c r="M447" s="13">
        <v>41791</v>
      </c>
      <c r="N447" s="14"/>
      <c r="O447" s="12"/>
      <c r="P447" s="15"/>
    </row>
    <row r="448" spans="1:16" ht="15.75" customHeight="1" x14ac:dyDescent="0.3">
      <c r="A448" s="6" t="s">
        <v>16</v>
      </c>
      <c r="B448" s="6" t="s">
        <v>20</v>
      </c>
      <c r="C448" s="7" t="s">
        <v>29</v>
      </c>
      <c r="D448" s="7" t="s">
        <v>34</v>
      </c>
      <c r="E448" s="6">
        <v>360</v>
      </c>
      <c r="F448" s="7">
        <v>10</v>
      </c>
      <c r="G448" s="7">
        <v>7</v>
      </c>
      <c r="H448" s="7">
        <f t="shared" si="27"/>
        <v>2520</v>
      </c>
      <c r="I448" s="7">
        <f t="shared" si="24"/>
        <v>252</v>
      </c>
      <c r="J448" s="7">
        <f t="shared" si="25"/>
        <v>2268</v>
      </c>
      <c r="K448" s="7">
        <v>1800</v>
      </c>
      <c r="L448" s="12">
        <f t="shared" si="26"/>
        <v>468</v>
      </c>
      <c r="M448" s="8">
        <v>41913</v>
      </c>
      <c r="N448" s="9"/>
      <c r="O448" s="7"/>
      <c r="P448" s="10"/>
    </row>
    <row r="449" spans="1:16" ht="15.75" customHeight="1" x14ac:dyDescent="0.3">
      <c r="A449" s="11" t="s">
        <v>25</v>
      </c>
      <c r="B449" s="11" t="s">
        <v>22</v>
      </c>
      <c r="C449" s="12" t="s">
        <v>30</v>
      </c>
      <c r="D449" s="12" t="s">
        <v>34</v>
      </c>
      <c r="E449" s="11">
        <v>1967</v>
      </c>
      <c r="F449" s="12">
        <v>120</v>
      </c>
      <c r="G449" s="12">
        <v>12</v>
      </c>
      <c r="H449" s="7">
        <f t="shared" si="27"/>
        <v>23604</v>
      </c>
      <c r="I449" s="7">
        <f t="shared" si="24"/>
        <v>2360.4</v>
      </c>
      <c r="J449" s="7">
        <f t="shared" si="25"/>
        <v>21243.599999999999</v>
      </c>
      <c r="K449" s="12">
        <v>5901</v>
      </c>
      <c r="L449" s="12">
        <f t="shared" si="26"/>
        <v>15342.599999999999</v>
      </c>
      <c r="M449" s="13">
        <v>41699</v>
      </c>
      <c r="N449" s="14"/>
      <c r="O449" s="12"/>
      <c r="P449" s="15"/>
    </row>
    <row r="450" spans="1:16" ht="15.75" customHeight="1" x14ac:dyDescent="0.3">
      <c r="A450" s="6" t="s">
        <v>21</v>
      </c>
      <c r="B450" s="6" t="s">
        <v>23</v>
      </c>
      <c r="C450" s="7" t="s">
        <v>30</v>
      </c>
      <c r="D450" s="7" t="s">
        <v>34</v>
      </c>
      <c r="E450" s="6">
        <v>2628</v>
      </c>
      <c r="F450" s="7">
        <v>120</v>
      </c>
      <c r="G450" s="7">
        <v>15</v>
      </c>
      <c r="H450" s="7">
        <f t="shared" si="27"/>
        <v>39420</v>
      </c>
      <c r="I450" s="7">
        <f t="shared" si="24"/>
        <v>3942</v>
      </c>
      <c r="J450" s="7">
        <f t="shared" si="25"/>
        <v>35478</v>
      </c>
      <c r="K450" s="7">
        <v>26280</v>
      </c>
      <c r="L450" s="12">
        <f t="shared" si="26"/>
        <v>9198</v>
      </c>
      <c r="M450" s="8">
        <v>41730</v>
      </c>
      <c r="N450" s="9"/>
      <c r="O450" s="7"/>
      <c r="P450" s="10"/>
    </row>
    <row r="451" spans="1:16" ht="15.75" customHeight="1" x14ac:dyDescent="0.3">
      <c r="A451" s="11" t="s">
        <v>16</v>
      </c>
      <c r="B451" s="11" t="s">
        <v>20</v>
      </c>
      <c r="C451" s="12" t="s">
        <v>31</v>
      </c>
      <c r="D451" s="12" t="s">
        <v>34</v>
      </c>
      <c r="E451" s="11">
        <v>360</v>
      </c>
      <c r="F451" s="12">
        <v>250</v>
      </c>
      <c r="G451" s="12">
        <v>7</v>
      </c>
      <c r="H451" s="7">
        <f t="shared" si="27"/>
        <v>2520</v>
      </c>
      <c r="I451" s="7">
        <f t="shared" ref="I451:I514" si="28">IF(D451="None", 0, IF(D451="Low", H451*0.05, IF(D451="Medium", H451*0.1, IF(D451="High", H451*0.15, 0))))</f>
        <v>252</v>
      </c>
      <c r="J451" s="7">
        <f t="shared" ref="J451:J514" si="29">H451-I451</f>
        <v>2268</v>
      </c>
      <c r="K451" s="12">
        <v>1800</v>
      </c>
      <c r="L451" s="12">
        <f t="shared" si="26"/>
        <v>468</v>
      </c>
      <c r="M451" s="13">
        <v>41913</v>
      </c>
      <c r="N451" s="14"/>
      <c r="O451" s="12"/>
      <c r="P451" s="15"/>
    </row>
    <row r="452" spans="1:16" ht="15.75" customHeight="1" x14ac:dyDescent="0.3">
      <c r="A452" s="6" t="s">
        <v>16</v>
      </c>
      <c r="B452" s="6" t="s">
        <v>22</v>
      </c>
      <c r="C452" s="7" t="s">
        <v>31</v>
      </c>
      <c r="D452" s="7" t="s">
        <v>34</v>
      </c>
      <c r="E452" s="6">
        <v>2682</v>
      </c>
      <c r="F452" s="7">
        <v>250</v>
      </c>
      <c r="G452" s="7">
        <v>20</v>
      </c>
      <c r="H452" s="7">
        <f t="shared" si="27"/>
        <v>53640</v>
      </c>
      <c r="I452" s="7">
        <f t="shared" si="28"/>
        <v>5364</v>
      </c>
      <c r="J452" s="7">
        <f t="shared" si="29"/>
        <v>48276</v>
      </c>
      <c r="K452" s="7">
        <v>26820</v>
      </c>
      <c r="L452" s="12">
        <f t="shared" ref="L452:L515" si="30">J452-K452</f>
        <v>21456</v>
      </c>
      <c r="M452" s="8">
        <v>41579</v>
      </c>
      <c r="N452" s="9"/>
      <c r="O452" s="7"/>
      <c r="P452" s="10"/>
    </row>
    <row r="453" spans="1:16" ht="15.75" customHeight="1" x14ac:dyDescent="0.3">
      <c r="A453" s="11" t="s">
        <v>16</v>
      </c>
      <c r="B453" s="11" t="s">
        <v>23</v>
      </c>
      <c r="C453" s="12" t="s">
        <v>31</v>
      </c>
      <c r="D453" s="12" t="s">
        <v>34</v>
      </c>
      <c r="E453" s="11">
        <v>521</v>
      </c>
      <c r="F453" s="12">
        <v>250</v>
      </c>
      <c r="G453" s="12">
        <v>7</v>
      </c>
      <c r="H453" s="7">
        <f t="shared" ref="H453:H516" si="31">E453*G453</f>
        <v>3647</v>
      </c>
      <c r="I453" s="7">
        <f t="shared" si="28"/>
        <v>364.70000000000005</v>
      </c>
      <c r="J453" s="7">
        <f t="shared" si="29"/>
        <v>3282.3</v>
      </c>
      <c r="K453" s="12">
        <v>2605</v>
      </c>
      <c r="L453" s="12">
        <f t="shared" si="30"/>
        <v>677.30000000000018</v>
      </c>
      <c r="M453" s="13">
        <v>41974</v>
      </c>
      <c r="N453" s="14"/>
      <c r="O453" s="12"/>
      <c r="P453" s="15"/>
    </row>
    <row r="454" spans="1:16" ht="15.75" customHeight="1" x14ac:dyDescent="0.3">
      <c r="A454" s="6" t="s">
        <v>16</v>
      </c>
      <c r="B454" s="6" t="s">
        <v>23</v>
      </c>
      <c r="C454" s="7" t="s">
        <v>32</v>
      </c>
      <c r="D454" s="7" t="s">
        <v>34</v>
      </c>
      <c r="E454" s="6">
        <v>1038</v>
      </c>
      <c r="F454" s="7">
        <v>260</v>
      </c>
      <c r="G454" s="7">
        <v>20</v>
      </c>
      <c r="H454" s="7">
        <f t="shared" si="31"/>
        <v>20760</v>
      </c>
      <c r="I454" s="7">
        <f t="shared" si="28"/>
        <v>2076</v>
      </c>
      <c r="J454" s="7">
        <f t="shared" si="29"/>
        <v>18684</v>
      </c>
      <c r="K454" s="7">
        <v>10380</v>
      </c>
      <c r="L454" s="12">
        <f t="shared" si="30"/>
        <v>8304</v>
      </c>
      <c r="M454" s="8">
        <v>41791</v>
      </c>
      <c r="N454" s="9"/>
      <c r="O454" s="7"/>
      <c r="P454" s="10"/>
    </row>
    <row r="455" spans="1:16" ht="15.75" customHeight="1" x14ac:dyDescent="0.3">
      <c r="A455" s="11" t="s">
        <v>21</v>
      </c>
      <c r="B455" s="11" t="s">
        <v>17</v>
      </c>
      <c r="C455" s="12" t="s">
        <v>32</v>
      </c>
      <c r="D455" s="12" t="s">
        <v>34</v>
      </c>
      <c r="E455" s="11">
        <v>1630.5</v>
      </c>
      <c r="F455" s="12">
        <v>260</v>
      </c>
      <c r="G455" s="12">
        <v>15</v>
      </c>
      <c r="H455" s="7">
        <f t="shared" si="31"/>
        <v>24457.5</v>
      </c>
      <c r="I455" s="7">
        <f t="shared" si="28"/>
        <v>2445.75</v>
      </c>
      <c r="J455" s="7">
        <f t="shared" si="29"/>
        <v>22011.75</v>
      </c>
      <c r="K455" s="12">
        <v>16305</v>
      </c>
      <c r="L455" s="12">
        <f t="shared" si="30"/>
        <v>5706.75</v>
      </c>
      <c r="M455" s="13">
        <v>41821</v>
      </c>
      <c r="N455" s="14"/>
      <c r="O455" s="12"/>
      <c r="P455" s="15"/>
    </row>
    <row r="456" spans="1:16" ht="15.75" customHeight="1" x14ac:dyDescent="0.3">
      <c r="A456" s="6" t="s">
        <v>25</v>
      </c>
      <c r="B456" s="6" t="s">
        <v>22</v>
      </c>
      <c r="C456" s="7" t="s">
        <v>32</v>
      </c>
      <c r="D456" s="7" t="s">
        <v>34</v>
      </c>
      <c r="E456" s="6">
        <v>306</v>
      </c>
      <c r="F456" s="7">
        <v>260</v>
      </c>
      <c r="G456" s="7">
        <v>12</v>
      </c>
      <c r="H456" s="7">
        <f t="shared" si="31"/>
        <v>3672</v>
      </c>
      <c r="I456" s="7">
        <f t="shared" si="28"/>
        <v>367.20000000000005</v>
      </c>
      <c r="J456" s="7">
        <f t="shared" si="29"/>
        <v>3304.8</v>
      </c>
      <c r="K456" s="7">
        <v>918</v>
      </c>
      <c r="L456" s="12">
        <f t="shared" si="30"/>
        <v>2386.8000000000002</v>
      </c>
      <c r="M456" s="8">
        <v>41609</v>
      </c>
      <c r="N456" s="9"/>
      <c r="O456" s="7"/>
      <c r="P456" s="10"/>
    </row>
    <row r="457" spans="1:16" ht="15.75" customHeight="1" x14ac:dyDescent="0.3">
      <c r="A457" s="11" t="s">
        <v>25</v>
      </c>
      <c r="B457" s="11" t="s">
        <v>28</v>
      </c>
      <c r="C457" s="12" t="s">
        <v>18</v>
      </c>
      <c r="D457" s="12" t="s">
        <v>35</v>
      </c>
      <c r="E457" s="11">
        <v>386</v>
      </c>
      <c r="F457" s="12">
        <v>3</v>
      </c>
      <c r="G457" s="12">
        <v>12</v>
      </c>
      <c r="H457" s="7">
        <f t="shared" si="31"/>
        <v>4632</v>
      </c>
      <c r="I457" s="7">
        <f t="shared" si="28"/>
        <v>694.8</v>
      </c>
      <c r="J457" s="7">
        <f t="shared" si="29"/>
        <v>3937.2</v>
      </c>
      <c r="K457" s="12">
        <v>1158</v>
      </c>
      <c r="L457" s="12">
        <f t="shared" si="30"/>
        <v>2779.2</v>
      </c>
      <c r="M457" s="13">
        <v>41548</v>
      </c>
      <c r="N457" s="14"/>
      <c r="O457" s="12"/>
      <c r="P457" s="15"/>
    </row>
    <row r="458" spans="1:16" ht="15.75" customHeight="1" x14ac:dyDescent="0.3">
      <c r="A458" s="6" t="s">
        <v>16</v>
      </c>
      <c r="B458" s="6" t="s">
        <v>28</v>
      </c>
      <c r="C458" s="7" t="s">
        <v>24</v>
      </c>
      <c r="D458" s="7" t="s">
        <v>35</v>
      </c>
      <c r="E458" s="6">
        <v>2328</v>
      </c>
      <c r="F458" s="7">
        <v>5</v>
      </c>
      <c r="G458" s="7">
        <v>7</v>
      </c>
      <c r="H458" s="7">
        <f t="shared" si="31"/>
        <v>16296</v>
      </c>
      <c r="I458" s="7">
        <f t="shared" si="28"/>
        <v>2444.4</v>
      </c>
      <c r="J458" s="7">
        <f t="shared" si="29"/>
        <v>13851.6</v>
      </c>
      <c r="K458" s="7">
        <v>11640</v>
      </c>
      <c r="L458" s="12">
        <f t="shared" si="30"/>
        <v>2211.6000000000004</v>
      </c>
      <c r="M458" s="8">
        <v>41883</v>
      </c>
      <c r="N458" s="9"/>
      <c r="O458" s="7"/>
      <c r="P458" s="10"/>
    </row>
    <row r="459" spans="1:16" ht="15.75" customHeight="1" x14ac:dyDescent="0.3">
      <c r="A459" s="11" t="s">
        <v>25</v>
      </c>
      <c r="B459" s="11" t="s">
        <v>28</v>
      </c>
      <c r="C459" s="12" t="s">
        <v>29</v>
      </c>
      <c r="D459" s="12" t="s">
        <v>35</v>
      </c>
      <c r="E459" s="11">
        <v>386</v>
      </c>
      <c r="F459" s="12">
        <v>10</v>
      </c>
      <c r="G459" s="12">
        <v>12</v>
      </c>
      <c r="H459" s="7">
        <f t="shared" si="31"/>
        <v>4632</v>
      </c>
      <c r="I459" s="7">
        <f t="shared" si="28"/>
        <v>694.8</v>
      </c>
      <c r="J459" s="7">
        <f t="shared" si="29"/>
        <v>3937.2</v>
      </c>
      <c r="K459" s="12">
        <v>1158</v>
      </c>
      <c r="L459" s="12">
        <f t="shared" si="30"/>
        <v>2779.2</v>
      </c>
      <c r="M459" s="13">
        <v>41548</v>
      </c>
      <c r="N459" s="14"/>
      <c r="O459" s="12"/>
      <c r="P459" s="15"/>
    </row>
    <row r="460" spans="1:16" ht="15.75" customHeight="1" x14ac:dyDescent="0.3">
      <c r="A460" s="6" t="s">
        <v>26</v>
      </c>
      <c r="B460" s="6" t="s">
        <v>28</v>
      </c>
      <c r="C460" s="7" t="s">
        <v>18</v>
      </c>
      <c r="D460" s="7" t="s">
        <v>35</v>
      </c>
      <c r="E460" s="6">
        <v>3445.5</v>
      </c>
      <c r="F460" s="7">
        <v>3</v>
      </c>
      <c r="G460" s="7">
        <v>125</v>
      </c>
      <c r="H460" s="7">
        <f t="shared" si="31"/>
        <v>430687.5</v>
      </c>
      <c r="I460" s="7">
        <f t="shared" si="28"/>
        <v>64603.125</v>
      </c>
      <c r="J460" s="7">
        <f t="shared" si="29"/>
        <v>366084.375</v>
      </c>
      <c r="K460" s="7">
        <v>413460</v>
      </c>
      <c r="L460" s="12">
        <f t="shared" si="30"/>
        <v>-47375.625</v>
      </c>
      <c r="M460" s="8">
        <v>41730</v>
      </c>
      <c r="N460" s="9"/>
      <c r="O460" s="7"/>
      <c r="P460" s="10"/>
    </row>
    <row r="461" spans="1:16" ht="15.75" customHeight="1" x14ac:dyDescent="0.3">
      <c r="A461" s="11" t="s">
        <v>26</v>
      </c>
      <c r="B461" s="11" t="s">
        <v>22</v>
      </c>
      <c r="C461" s="12" t="s">
        <v>18</v>
      </c>
      <c r="D461" s="12" t="s">
        <v>35</v>
      </c>
      <c r="E461" s="11">
        <v>1482</v>
      </c>
      <c r="F461" s="12">
        <v>3</v>
      </c>
      <c r="G461" s="12">
        <v>125</v>
      </c>
      <c r="H461" s="7">
        <f t="shared" si="31"/>
        <v>185250</v>
      </c>
      <c r="I461" s="7">
        <f t="shared" si="28"/>
        <v>27787.5</v>
      </c>
      <c r="J461" s="7">
        <f t="shared" si="29"/>
        <v>157462.5</v>
      </c>
      <c r="K461" s="12">
        <v>177840</v>
      </c>
      <c r="L461" s="12">
        <f t="shared" si="30"/>
        <v>-20377.5</v>
      </c>
      <c r="M461" s="13">
        <v>41609</v>
      </c>
      <c r="N461" s="14"/>
      <c r="O461" s="12"/>
      <c r="P461" s="15"/>
    </row>
    <row r="462" spans="1:16" ht="15.75" customHeight="1" x14ac:dyDescent="0.3">
      <c r="A462" s="6" t="s">
        <v>16</v>
      </c>
      <c r="B462" s="6" t="s">
        <v>28</v>
      </c>
      <c r="C462" s="7" t="s">
        <v>24</v>
      </c>
      <c r="D462" s="7" t="s">
        <v>35</v>
      </c>
      <c r="E462" s="6">
        <v>2313</v>
      </c>
      <c r="F462" s="7">
        <v>5</v>
      </c>
      <c r="G462" s="7">
        <v>350</v>
      </c>
      <c r="H462" s="7">
        <f t="shared" si="31"/>
        <v>809550</v>
      </c>
      <c r="I462" s="7">
        <f t="shared" si="28"/>
        <v>121432.5</v>
      </c>
      <c r="J462" s="7">
        <f t="shared" si="29"/>
        <v>688117.5</v>
      </c>
      <c r="K462" s="7">
        <v>601380</v>
      </c>
      <c r="L462" s="12">
        <f t="shared" si="30"/>
        <v>86737.5</v>
      </c>
      <c r="M462" s="8">
        <v>41760</v>
      </c>
      <c r="N462" s="9"/>
      <c r="O462" s="7"/>
      <c r="P462" s="10"/>
    </row>
    <row r="463" spans="1:16" ht="15.75" customHeight="1" x14ac:dyDescent="0.3">
      <c r="A463" s="11" t="s">
        <v>26</v>
      </c>
      <c r="B463" s="11" t="s">
        <v>28</v>
      </c>
      <c r="C463" s="12" t="s">
        <v>24</v>
      </c>
      <c r="D463" s="12" t="s">
        <v>35</v>
      </c>
      <c r="E463" s="11">
        <v>1804</v>
      </c>
      <c r="F463" s="12">
        <v>5</v>
      </c>
      <c r="G463" s="12">
        <v>125</v>
      </c>
      <c r="H463" s="7">
        <f t="shared" si="31"/>
        <v>225500</v>
      </c>
      <c r="I463" s="7">
        <f t="shared" si="28"/>
        <v>33825</v>
      </c>
      <c r="J463" s="7">
        <f t="shared" si="29"/>
        <v>191675</v>
      </c>
      <c r="K463" s="12">
        <v>216480</v>
      </c>
      <c r="L463" s="12">
        <f t="shared" si="30"/>
        <v>-24805</v>
      </c>
      <c r="M463" s="13">
        <v>41579</v>
      </c>
      <c r="N463" s="14"/>
      <c r="O463" s="12"/>
      <c r="P463" s="15"/>
    </row>
    <row r="464" spans="1:16" ht="15.75" customHeight="1" x14ac:dyDescent="0.3">
      <c r="A464" s="6" t="s">
        <v>21</v>
      </c>
      <c r="B464" s="6" t="s">
        <v>22</v>
      </c>
      <c r="C464" s="7" t="s">
        <v>24</v>
      </c>
      <c r="D464" s="7" t="s">
        <v>35</v>
      </c>
      <c r="E464" s="6">
        <v>2072</v>
      </c>
      <c r="F464" s="7">
        <v>5</v>
      </c>
      <c r="G464" s="7">
        <v>15</v>
      </c>
      <c r="H464" s="7">
        <f t="shared" si="31"/>
        <v>31080</v>
      </c>
      <c r="I464" s="7">
        <f t="shared" si="28"/>
        <v>4662</v>
      </c>
      <c r="J464" s="7">
        <f t="shared" si="29"/>
        <v>26418</v>
      </c>
      <c r="K464" s="7">
        <v>20720</v>
      </c>
      <c r="L464" s="12">
        <f t="shared" si="30"/>
        <v>5698</v>
      </c>
      <c r="M464" s="8">
        <v>41974</v>
      </c>
      <c r="N464" s="9"/>
      <c r="O464" s="7"/>
      <c r="P464" s="10"/>
    </row>
    <row r="465" spans="1:16" ht="15.75" customHeight="1" x14ac:dyDescent="0.3">
      <c r="A465" s="11" t="s">
        <v>16</v>
      </c>
      <c r="B465" s="11" t="s">
        <v>22</v>
      </c>
      <c r="C465" s="12" t="s">
        <v>29</v>
      </c>
      <c r="D465" s="12" t="s">
        <v>35</v>
      </c>
      <c r="E465" s="11">
        <v>1954</v>
      </c>
      <c r="F465" s="12">
        <v>10</v>
      </c>
      <c r="G465" s="12">
        <v>20</v>
      </c>
      <c r="H465" s="7">
        <f t="shared" si="31"/>
        <v>39080</v>
      </c>
      <c r="I465" s="7">
        <f t="shared" si="28"/>
        <v>5862</v>
      </c>
      <c r="J465" s="7">
        <f t="shared" si="29"/>
        <v>33218</v>
      </c>
      <c r="K465" s="12">
        <v>19540</v>
      </c>
      <c r="L465" s="12">
        <f t="shared" si="30"/>
        <v>13678</v>
      </c>
      <c r="M465" s="13">
        <v>41699</v>
      </c>
      <c r="N465" s="14"/>
      <c r="O465" s="12"/>
      <c r="P465" s="15"/>
    </row>
    <row r="466" spans="1:16" ht="15.75" customHeight="1" x14ac:dyDescent="0.3">
      <c r="A466" s="6" t="s">
        <v>27</v>
      </c>
      <c r="B466" s="6" t="s">
        <v>23</v>
      </c>
      <c r="C466" s="7" t="s">
        <v>29</v>
      </c>
      <c r="D466" s="7" t="s">
        <v>35</v>
      </c>
      <c r="E466" s="6">
        <v>591</v>
      </c>
      <c r="F466" s="7">
        <v>10</v>
      </c>
      <c r="G466" s="7">
        <v>300</v>
      </c>
      <c r="H466" s="7">
        <f t="shared" si="31"/>
        <v>177300</v>
      </c>
      <c r="I466" s="7">
        <f t="shared" si="28"/>
        <v>26595</v>
      </c>
      <c r="J466" s="7">
        <f t="shared" si="29"/>
        <v>150705</v>
      </c>
      <c r="K466" s="7">
        <v>147750</v>
      </c>
      <c r="L466" s="12">
        <f t="shared" si="30"/>
        <v>2955</v>
      </c>
      <c r="M466" s="8">
        <v>41760</v>
      </c>
      <c r="N466" s="9"/>
      <c r="O466" s="7"/>
      <c r="P466" s="10"/>
    </row>
    <row r="467" spans="1:16" ht="15.75" customHeight="1" x14ac:dyDescent="0.3">
      <c r="A467" s="11" t="s">
        <v>21</v>
      </c>
      <c r="B467" s="11" t="s">
        <v>22</v>
      </c>
      <c r="C467" s="12" t="s">
        <v>29</v>
      </c>
      <c r="D467" s="12" t="s">
        <v>35</v>
      </c>
      <c r="E467" s="11">
        <v>2167</v>
      </c>
      <c r="F467" s="12">
        <v>10</v>
      </c>
      <c r="G467" s="12">
        <v>15</v>
      </c>
      <c r="H467" s="7">
        <f t="shared" si="31"/>
        <v>32505</v>
      </c>
      <c r="I467" s="7">
        <f t="shared" si="28"/>
        <v>4875.75</v>
      </c>
      <c r="J467" s="7">
        <f t="shared" si="29"/>
        <v>27629.25</v>
      </c>
      <c r="K467" s="12">
        <v>21670</v>
      </c>
      <c r="L467" s="12">
        <f t="shared" si="30"/>
        <v>5959.25</v>
      </c>
      <c r="M467" s="13">
        <v>41548</v>
      </c>
      <c r="N467" s="14"/>
      <c r="O467" s="12"/>
      <c r="P467" s="15"/>
    </row>
    <row r="468" spans="1:16" ht="15.75" customHeight="1" x14ac:dyDescent="0.3">
      <c r="A468" s="6" t="s">
        <v>16</v>
      </c>
      <c r="B468" s="6" t="s">
        <v>20</v>
      </c>
      <c r="C468" s="7" t="s">
        <v>29</v>
      </c>
      <c r="D468" s="7" t="s">
        <v>35</v>
      </c>
      <c r="E468" s="6">
        <v>241</v>
      </c>
      <c r="F468" s="7">
        <v>10</v>
      </c>
      <c r="G468" s="7">
        <v>20</v>
      </c>
      <c r="H468" s="7">
        <f t="shared" si="31"/>
        <v>4820</v>
      </c>
      <c r="I468" s="7">
        <f t="shared" si="28"/>
        <v>723</v>
      </c>
      <c r="J468" s="7">
        <f t="shared" si="29"/>
        <v>4097</v>
      </c>
      <c r="K468" s="7">
        <v>2410</v>
      </c>
      <c r="L468" s="12">
        <f t="shared" si="30"/>
        <v>1687</v>
      </c>
      <c r="M468" s="8">
        <v>41913</v>
      </c>
      <c r="N468" s="9"/>
      <c r="O468" s="7"/>
      <c r="P468" s="10"/>
    </row>
    <row r="469" spans="1:16" ht="15.75" customHeight="1" x14ac:dyDescent="0.3">
      <c r="A469" s="11" t="s">
        <v>21</v>
      </c>
      <c r="B469" s="11" t="s">
        <v>20</v>
      </c>
      <c r="C469" s="12" t="s">
        <v>30</v>
      </c>
      <c r="D469" s="12" t="s">
        <v>35</v>
      </c>
      <c r="E469" s="11">
        <v>681</v>
      </c>
      <c r="F469" s="12">
        <v>120</v>
      </c>
      <c r="G469" s="12">
        <v>15</v>
      </c>
      <c r="H469" s="7">
        <f t="shared" si="31"/>
        <v>10215</v>
      </c>
      <c r="I469" s="7">
        <f t="shared" si="28"/>
        <v>1532.25</v>
      </c>
      <c r="J469" s="7">
        <f t="shared" si="29"/>
        <v>8682.75</v>
      </c>
      <c r="K469" s="12">
        <v>6810</v>
      </c>
      <c r="L469" s="12">
        <f t="shared" si="30"/>
        <v>1872.75</v>
      </c>
      <c r="M469" s="13">
        <v>41640</v>
      </c>
      <c r="N469" s="14"/>
      <c r="O469" s="12"/>
      <c r="P469" s="15"/>
    </row>
    <row r="470" spans="1:16" ht="15.75" customHeight="1" x14ac:dyDescent="0.3">
      <c r="A470" s="6" t="s">
        <v>21</v>
      </c>
      <c r="B470" s="6" t="s">
        <v>20</v>
      </c>
      <c r="C470" s="7" t="s">
        <v>30</v>
      </c>
      <c r="D470" s="7" t="s">
        <v>35</v>
      </c>
      <c r="E470" s="6">
        <v>510</v>
      </c>
      <c r="F470" s="7">
        <v>120</v>
      </c>
      <c r="G470" s="7">
        <v>15</v>
      </c>
      <c r="H470" s="7">
        <f t="shared" si="31"/>
        <v>7650</v>
      </c>
      <c r="I470" s="7">
        <f t="shared" si="28"/>
        <v>1147.5</v>
      </c>
      <c r="J470" s="7">
        <f t="shared" si="29"/>
        <v>6502.5</v>
      </c>
      <c r="K470" s="7">
        <v>5100</v>
      </c>
      <c r="L470" s="12">
        <f t="shared" si="30"/>
        <v>1402.5</v>
      </c>
      <c r="M470" s="8">
        <v>41730</v>
      </c>
      <c r="N470" s="9"/>
      <c r="O470" s="7"/>
      <c r="P470" s="10"/>
    </row>
    <row r="471" spans="1:16" ht="15.75" customHeight="1" x14ac:dyDescent="0.3">
      <c r="A471" s="11" t="s">
        <v>21</v>
      </c>
      <c r="B471" s="11" t="s">
        <v>28</v>
      </c>
      <c r="C471" s="12" t="s">
        <v>30</v>
      </c>
      <c r="D471" s="12" t="s">
        <v>35</v>
      </c>
      <c r="E471" s="11">
        <v>790</v>
      </c>
      <c r="F471" s="12">
        <v>120</v>
      </c>
      <c r="G471" s="12">
        <v>15</v>
      </c>
      <c r="H471" s="7">
        <f t="shared" si="31"/>
        <v>11850</v>
      </c>
      <c r="I471" s="7">
        <f t="shared" si="28"/>
        <v>1777.5</v>
      </c>
      <c r="J471" s="7">
        <f t="shared" si="29"/>
        <v>10072.5</v>
      </c>
      <c r="K471" s="12">
        <v>7900</v>
      </c>
      <c r="L471" s="12">
        <f t="shared" si="30"/>
        <v>2172.5</v>
      </c>
      <c r="M471" s="13">
        <v>41760</v>
      </c>
      <c r="N471" s="14"/>
      <c r="O471" s="12"/>
      <c r="P471" s="15"/>
    </row>
    <row r="472" spans="1:16" ht="15.75" customHeight="1" x14ac:dyDescent="0.3">
      <c r="A472" s="6" t="s">
        <v>16</v>
      </c>
      <c r="B472" s="6" t="s">
        <v>22</v>
      </c>
      <c r="C472" s="7" t="s">
        <v>30</v>
      </c>
      <c r="D472" s="7" t="s">
        <v>35</v>
      </c>
      <c r="E472" s="6">
        <v>639</v>
      </c>
      <c r="F472" s="7">
        <v>120</v>
      </c>
      <c r="G472" s="7">
        <v>350</v>
      </c>
      <c r="H472" s="7">
        <f t="shared" si="31"/>
        <v>223650</v>
      </c>
      <c r="I472" s="7">
        <f t="shared" si="28"/>
        <v>33547.5</v>
      </c>
      <c r="J472" s="7">
        <f t="shared" si="29"/>
        <v>190102.5</v>
      </c>
      <c r="K472" s="7">
        <v>166140</v>
      </c>
      <c r="L472" s="12">
        <f t="shared" si="30"/>
        <v>23962.5</v>
      </c>
      <c r="M472" s="8">
        <v>41821</v>
      </c>
      <c r="N472" s="9"/>
      <c r="O472" s="7"/>
      <c r="P472" s="10"/>
    </row>
    <row r="473" spans="1:16" ht="15.75" customHeight="1" x14ac:dyDescent="0.3">
      <c r="A473" s="11" t="s">
        <v>26</v>
      </c>
      <c r="B473" s="11" t="s">
        <v>28</v>
      </c>
      <c r="C473" s="12" t="s">
        <v>30</v>
      </c>
      <c r="D473" s="12" t="s">
        <v>35</v>
      </c>
      <c r="E473" s="11">
        <v>1596</v>
      </c>
      <c r="F473" s="12">
        <v>120</v>
      </c>
      <c r="G473" s="12">
        <v>125</v>
      </c>
      <c r="H473" s="7">
        <f t="shared" si="31"/>
        <v>199500</v>
      </c>
      <c r="I473" s="7">
        <f t="shared" si="28"/>
        <v>29925</v>
      </c>
      <c r="J473" s="7">
        <f t="shared" si="29"/>
        <v>169575</v>
      </c>
      <c r="K473" s="12">
        <v>191520</v>
      </c>
      <c r="L473" s="12">
        <f t="shared" si="30"/>
        <v>-21945</v>
      </c>
      <c r="M473" s="13">
        <v>41883</v>
      </c>
      <c r="N473" s="14"/>
      <c r="O473" s="12"/>
      <c r="P473" s="15"/>
    </row>
    <row r="474" spans="1:16" ht="15.75" customHeight="1" x14ac:dyDescent="0.3">
      <c r="A474" s="6" t="s">
        <v>27</v>
      </c>
      <c r="B474" s="6" t="s">
        <v>28</v>
      </c>
      <c r="C474" s="7" t="s">
        <v>30</v>
      </c>
      <c r="D474" s="7" t="s">
        <v>35</v>
      </c>
      <c r="E474" s="6">
        <v>2294</v>
      </c>
      <c r="F474" s="7">
        <v>120</v>
      </c>
      <c r="G474" s="7">
        <v>300</v>
      </c>
      <c r="H474" s="7">
        <f t="shared" si="31"/>
        <v>688200</v>
      </c>
      <c r="I474" s="7">
        <f t="shared" si="28"/>
        <v>103230</v>
      </c>
      <c r="J474" s="7">
        <f t="shared" si="29"/>
        <v>584970</v>
      </c>
      <c r="K474" s="7">
        <v>573500</v>
      </c>
      <c r="L474" s="12">
        <f t="shared" si="30"/>
        <v>11470</v>
      </c>
      <c r="M474" s="8">
        <v>41548</v>
      </c>
      <c r="N474" s="9"/>
      <c r="O474" s="7"/>
      <c r="P474" s="10"/>
    </row>
    <row r="475" spans="1:16" ht="15.75" customHeight="1" x14ac:dyDescent="0.3">
      <c r="A475" s="11" t="s">
        <v>16</v>
      </c>
      <c r="B475" s="11" t="s">
        <v>20</v>
      </c>
      <c r="C475" s="12" t="s">
        <v>30</v>
      </c>
      <c r="D475" s="12" t="s">
        <v>35</v>
      </c>
      <c r="E475" s="11">
        <v>241</v>
      </c>
      <c r="F475" s="12">
        <v>120</v>
      </c>
      <c r="G475" s="12">
        <v>20</v>
      </c>
      <c r="H475" s="7">
        <f t="shared" si="31"/>
        <v>4820</v>
      </c>
      <c r="I475" s="7">
        <f t="shared" si="28"/>
        <v>723</v>
      </c>
      <c r="J475" s="7">
        <f t="shared" si="29"/>
        <v>4097</v>
      </c>
      <c r="K475" s="12">
        <v>2410</v>
      </c>
      <c r="L475" s="12">
        <f t="shared" si="30"/>
        <v>1687</v>
      </c>
      <c r="M475" s="13">
        <v>41913</v>
      </c>
      <c r="N475" s="14"/>
      <c r="O475" s="12"/>
      <c r="P475" s="15"/>
    </row>
    <row r="476" spans="1:16" ht="15.75" customHeight="1" x14ac:dyDescent="0.3">
      <c r="A476" s="6" t="s">
        <v>16</v>
      </c>
      <c r="B476" s="6" t="s">
        <v>20</v>
      </c>
      <c r="C476" s="7" t="s">
        <v>30</v>
      </c>
      <c r="D476" s="7" t="s">
        <v>35</v>
      </c>
      <c r="E476" s="6">
        <v>2665</v>
      </c>
      <c r="F476" s="7">
        <v>120</v>
      </c>
      <c r="G476" s="7">
        <v>7</v>
      </c>
      <c r="H476" s="7">
        <f t="shared" si="31"/>
        <v>18655</v>
      </c>
      <c r="I476" s="7">
        <f t="shared" si="28"/>
        <v>2798.25</v>
      </c>
      <c r="J476" s="7">
        <f t="shared" si="29"/>
        <v>15856.75</v>
      </c>
      <c r="K476" s="7">
        <v>13325</v>
      </c>
      <c r="L476" s="12">
        <f t="shared" si="30"/>
        <v>2531.75</v>
      </c>
      <c r="M476" s="8">
        <v>41944</v>
      </c>
      <c r="N476" s="9"/>
      <c r="O476" s="7"/>
      <c r="P476" s="10"/>
    </row>
    <row r="477" spans="1:16" ht="15.75" customHeight="1" x14ac:dyDescent="0.3">
      <c r="A477" s="11" t="s">
        <v>26</v>
      </c>
      <c r="B477" s="11" t="s">
        <v>17</v>
      </c>
      <c r="C477" s="12" t="s">
        <v>30</v>
      </c>
      <c r="D477" s="12" t="s">
        <v>35</v>
      </c>
      <c r="E477" s="11">
        <v>1916</v>
      </c>
      <c r="F477" s="12">
        <v>120</v>
      </c>
      <c r="G477" s="12">
        <v>125</v>
      </c>
      <c r="H477" s="7">
        <f t="shared" si="31"/>
        <v>239500</v>
      </c>
      <c r="I477" s="7">
        <f t="shared" si="28"/>
        <v>35925</v>
      </c>
      <c r="J477" s="7">
        <f t="shared" si="29"/>
        <v>203575</v>
      </c>
      <c r="K477" s="12">
        <v>229920</v>
      </c>
      <c r="L477" s="12">
        <f t="shared" si="30"/>
        <v>-26345</v>
      </c>
      <c r="M477" s="13">
        <v>41609</v>
      </c>
      <c r="N477" s="14"/>
      <c r="O477" s="12"/>
      <c r="P477" s="15"/>
    </row>
    <row r="478" spans="1:16" ht="15.75" customHeight="1" x14ac:dyDescent="0.3">
      <c r="A478" s="6" t="s">
        <v>27</v>
      </c>
      <c r="B478" s="6" t="s">
        <v>22</v>
      </c>
      <c r="C478" s="7" t="s">
        <v>30</v>
      </c>
      <c r="D478" s="7" t="s">
        <v>35</v>
      </c>
      <c r="E478" s="6">
        <v>853</v>
      </c>
      <c r="F478" s="7">
        <v>120</v>
      </c>
      <c r="G478" s="7">
        <v>300</v>
      </c>
      <c r="H478" s="7">
        <f t="shared" si="31"/>
        <v>255900</v>
      </c>
      <c r="I478" s="7">
        <f t="shared" si="28"/>
        <v>38385</v>
      </c>
      <c r="J478" s="7">
        <f t="shared" si="29"/>
        <v>217515</v>
      </c>
      <c r="K478" s="7">
        <v>213250</v>
      </c>
      <c r="L478" s="12">
        <f t="shared" si="30"/>
        <v>4265</v>
      </c>
      <c r="M478" s="8">
        <v>41974</v>
      </c>
      <c r="N478" s="9"/>
      <c r="O478" s="7"/>
      <c r="P478" s="10"/>
    </row>
    <row r="479" spans="1:16" ht="15.75" customHeight="1" x14ac:dyDescent="0.3">
      <c r="A479" s="11" t="s">
        <v>26</v>
      </c>
      <c r="B479" s="11" t="s">
        <v>23</v>
      </c>
      <c r="C479" s="12" t="s">
        <v>31</v>
      </c>
      <c r="D479" s="12" t="s">
        <v>35</v>
      </c>
      <c r="E479" s="11">
        <v>341</v>
      </c>
      <c r="F479" s="12">
        <v>250</v>
      </c>
      <c r="G479" s="12">
        <v>125</v>
      </c>
      <c r="H479" s="7">
        <f t="shared" si="31"/>
        <v>42625</v>
      </c>
      <c r="I479" s="7">
        <f t="shared" si="28"/>
        <v>6393.75</v>
      </c>
      <c r="J479" s="7">
        <f t="shared" si="29"/>
        <v>36231.25</v>
      </c>
      <c r="K479" s="12">
        <v>40920</v>
      </c>
      <c r="L479" s="12">
        <f t="shared" si="30"/>
        <v>-4688.75</v>
      </c>
      <c r="M479" s="13">
        <v>41760</v>
      </c>
      <c r="N479" s="14"/>
      <c r="O479" s="12"/>
      <c r="P479" s="15"/>
    </row>
    <row r="480" spans="1:16" ht="15.75" customHeight="1" x14ac:dyDescent="0.3">
      <c r="A480" s="6" t="s">
        <v>21</v>
      </c>
      <c r="B480" s="6" t="s">
        <v>23</v>
      </c>
      <c r="C480" s="7" t="s">
        <v>31</v>
      </c>
      <c r="D480" s="7" t="s">
        <v>35</v>
      </c>
      <c r="E480" s="6">
        <v>641</v>
      </c>
      <c r="F480" s="7">
        <v>250</v>
      </c>
      <c r="G480" s="7">
        <v>15</v>
      </c>
      <c r="H480" s="7">
        <f t="shared" si="31"/>
        <v>9615</v>
      </c>
      <c r="I480" s="7">
        <f t="shared" si="28"/>
        <v>1442.25</v>
      </c>
      <c r="J480" s="7">
        <f t="shared" si="29"/>
        <v>8172.75</v>
      </c>
      <c r="K480" s="7">
        <v>6410</v>
      </c>
      <c r="L480" s="12">
        <f t="shared" si="30"/>
        <v>1762.75</v>
      </c>
      <c r="M480" s="8">
        <v>41821</v>
      </c>
      <c r="N480" s="9"/>
      <c r="O480" s="7"/>
      <c r="P480" s="10"/>
    </row>
    <row r="481" spans="1:16" ht="15.75" customHeight="1" x14ac:dyDescent="0.3">
      <c r="A481" s="11" t="s">
        <v>16</v>
      </c>
      <c r="B481" s="11" t="s">
        <v>28</v>
      </c>
      <c r="C481" s="12" t="s">
        <v>31</v>
      </c>
      <c r="D481" s="12" t="s">
        <v>35</v>
      </c>
      <c r="E481" s="11">
        <v>2807</v>
      </c>
      <c r="F481" s="12">
        <v>250</v>
      </c>
      <c r="G481" s="12">
        <v>350</v>
      </c>
      <c r="H481" s="7">
        <f t="shared" si="31"/>
        <v>982450</v>
      </c>
      <c r="I481" s="7">
        <f t="shared" si="28"/>
        <v>147367.5</v>
      </c>
      <c r="J481" s="7">
        <f t="shared" si="29"/>
        <v>835082.5</v>
      </c>
      <c r="K481" s="12">
        <v>729820</v>
      </c>
      <c r="L481" s="12">
        <f t="shared" si="30"/>
        <v>105262.5</v>
      </c>
      <c r="M481" s="13">
        <v>41852</v>
      </c>
      <c r="N481" s="14"/>
      <c r="O481" s="12"/>
      <c r="P481" s="15"/>
    </row>
    <row r="482" spans="1:16" ht="15.75" customHeight="1" x14ac:dyDescent="0.3">
      <c r="A482" s="6" t="s">
        <v>27</v>
      </c>
      <c r="B482" s="6" t="s">
        <v>23</v>
      </c>
      <c r="C482" s="7" t="s">
        <v>31</v>
      </c>
      <c r="D482" s="7" t="s">
        <v>35</v>
      </c>
      <c r="E482" s="6">
        <v>432</v>
      </c>
      <c r="F482" s="7">
        <v>250</v>
      </c>
      <c r="G482" s="7">
        <v>300</v>
      </c>
      <c r="H482" s="7">
        <f t="shared" si="31"/>
        <v>129600</v>
      </c>
      <c r="I482" s="7">
        <f t="shared" si="28"/>
        <v>19440</v>
      </c>
      <c r="J482" s="7">
        <f t="shared" si="29"/>
        <v>110160</v>
      </c>
      <c r="K482" s="7">
        <v>108000</v>
      </c>
      <c r="L482" s="12">
        <f t="shared" si="30"/>
        <v>2160</v>
      </c>
      <c r="M482" s="8">
        <v>41883</v>
      </c>
      <c r="N482" s="9"/>
      <c r="O482" s="7"/>
      <c r="P482" s="10"/>
    </row>
    <row r="483" spans="1:16" ht="15.75" customHeight="1" x14ac:dyDescent="0.3">
      <c r="A483" s="11" t="s">
        <v>27</v>
      </c>
      <c r="B483" s="11" t="s">
        <v>28</v>
      </c>
      <c r="C483" s="12" t="s">
        <v>31</v>
      </c>
      <c r="D483" s="12" t="s">
        <v>35</v>
      </c>
      <c r="E483" s="11">
        <v>2294</v>
      </c>
      <c r="F483" s="12">
        <v>250</v>
      </c>
      <c r="G483" s="12">
        <v>300</v>
      </c>
      <c r="H483" s="7">
        <f t="shared" si="31"/>
        <v>688200</v>
      </c>
      <c r="I483" s="7">
        <f t="shared" si="28"/>
        <v>103230</v>
      </c>
      <c r="J483" s="7">
        <f t="shared" si="29"/>
        <v>584970</v>
      </c>
      <c r="K483" s="12">
        <v>573500</v>
      </c>
      <c r="L483" s="12">
        <f t="shared" si="30"/>
        <v>11470</v>
      </c>
      <c r="M483" s="13">
        <v>41548</v>
      </c>
      <c r="N483" s="14"/>
      <c r="O483" s="12"/>
      <c r="P483" s="15"/>
    </row>
    <row r="484" spans="1:16" ht="15.75" customHeight="1" x14ac:dyDescent="0.3">
      <c r="A484" s="6" t="s">
        <v>21</v>
      </c>
      <c r="B484" s="6" t="s">
        <v>22</v>
      </c>
      <c r="C484" s="7" t="s">
        <v>31</v>
      </c>
      <c r="D484" s="7" t="s">
        <v>35</v>
      </c>
      <c r="E484" s="6">
        <v>2167</v>
      </c>
      <c r="F484" s="7">
        <v>250</v>
      </c>
      <c r="G484" s="7">
        <v>15</v>
      </c>
      <c r="H484" s="7">
        <f t="shared" si="31"/>
        <v>32505</v>
      </c>
      <c r="I484" s="7">
        <f t="shared" si="28"/>
        <v>4875.75</v>
      </c>
      <c r="J484" s="7">
        <f t="shared" si="29"/>
        <v>27629.25</v>
      </c>
      <c r="K484" s="7">
        <v>21670</v>
      </c>
      <c r="L484" s="12">
        <f t="shared" si="30"/>
        <v>5959.25</v>
      </c>
      <c r="M484" s="8">
        <v>41548</v>
      </c>
      <c r="N484" s="9"/>
      <c r="O484" s="7"/>
      <c r="P484" s="10"/>
    </row>
    <row r="485" spans="1:16" ht="15.75" customHeight="1" x14ac:dyDescent="0.3">
      <c r="A485" s="11" t="s">
        <v>26</v>
      </c>
      <c r="B485" s="11" t="s">
        <v>17</v>
      </c>
      <c r="C485" s="12" t="s">
        <v>31</v>
      </c>
      <c r="D485" s="12" t="s">
        <v>35</v>
      </c>
      <c r="E485" s="11">
        <v>2529</v>
      </c>
      <c r="F485" s="12">
        <v>250</v>
      </c>
      <c r="G485" s="12">
        <v>125</v>
      </c>
      <c r="H485" s="7">
        <f t="shared" si="31"/>
        <v>316125</v>
      </c>
      <c r="I485" s="7">
        <f t="shared" si="28"/>
        <v>47418.75</v>
      </c>
      <c r="J485" s="7">
        <f t="shared" si="29"/>
        <v>268706.25</v>
      </c>
      <c r="K485" s="12">
        <v>303480</v>
      </c>
      <c r="L485" s="12">
        <f t="shared" si="30"/>
        <v>-34773.75</v>
      </c>
      <c r="M485" s="13">
        <v>41944</v>
      </c>
      <c r="N485" s="14"/>
      <c r="O485" s="12"/>
      <c r="P485" s="15"/>
    </row>
    <row r="486" spans="1:16" ht="15.75" customHeight="1" x14ac:dyDescent="0.3">
      <c r="A486" s="6" t="s">
        <v>16</v>
      </c>
      <c r="B486" s="6" t="s">
        <v>20</v>
      </c>
      <c r="C486" s="7" t="s">
        <v>31</v>
      </c>
      <c r="D486" s="7" t="s">
        <v>35</v>
      </c>
      <c r="E486" s="6">
        <v>1870</v>
      </c>
      <c r="F486" s="7">
        <v>250</v>
      </c>
      <c r="G486" s="7">
        <v>350</v>
      </c>
      <c r="H486" s="7">
        <f t="shared" si="31"/>
        <v>654500</v>
      </c>
      <c r="I486" s="7">
        <f t="shared" si="28"/>
        <v>98175</v>
      </c>
      <c r="J486" s="7">
        <f t="shared" si="29"/>
        <v>556325</v>
      </c>
      <c r="K486" s="7">
        <v>486200</v>
      </c>
      <c r="L486" s="12">
        <f t="shared" si="30"/>
        <v>70125</v>
      </c>
      <c r="M486" s="8">
        <v>41609</v>
      </c>
      <c r="N486" s="9"/>
      <c r="O486" s="7"/>
      <c r="P486" s="10"/>
    </row>
    <row r="487" spans="1:16" ht="15.75" customHeight="1" x14ac:dyDescent="0.3">
      <c r="A487" s="11" t="s">
        <v>26</v>
      </c>
      <c r="B487" s="11" t="s">
        <v>28</v>
      </c>
      <c r="C487" s="12" t="s">
        <v>32</v>
      </c>
      <c r="D487" s="12" t="s">
        <v>35</v>
      </c>
      <c r="E487" s="11">
        <v>579</v>
      </c>
      <c r="F487" s="12">
        <v>260</v>
      </c>
      <c r="G487" s="12">
        <v>125</v>
      </c>
      <c r="H487" s="7">
        <f t="shared" si="31"/>
        <v>72375</v>
      </c>
      <c r="I487" s="7">
        <f t="shared" si="28"/>
        <v>10856.25</v>
      </c>
      <c r="J487" s="7">
        <f t="shared" si="29"/>
        <v>61518.75</v>
      </c>
      <c r="K487" s="12">
        <v>69480</v>
      </c>
      <c r="L487" s="12">
        <f t="shared" si="30"/>
        <v>-7961.25</v>
      </c>
      <c r="M487" s="13">
        <v>41640</v>
      </c>
      <c r="N487" s="14"/>
      <c r="O487" s="12"/>
      <c r="P487" s="15"/>
    </row>
    <row r="488" spans="1:16" ht="15.75" customHeight="1" x14ac:dyDescent="0.3">
      <c r="A488" s="6" t="s">
        <v>16</v>
      </c>
      <c r="B488" s="6" t="s">
        <v>17</v>
      </c>
      <c r="C488" s="7" t="s">
        <v>32</v>
      </c>
      <c r="D488" s="7" t="s">
        <v>35</v>
      </c>
      <c r="E488" s="6">
        <v>2240</v>
      </c>
      <c r="F488" s="7">
        <v>260</v>
      </c>
      <c r="G488" s="7">
        <v>350</v>
      </c>
      <c r="H488" s="7">
        <f t="shared" si="31"/>
        <v>784000</v>
      </c>
      <c r="I488" s="7">
        <f t="shared" si="28"/>
        <v>117600</v>
      </c>
      <c r="J488" s="7">
        <f t="shared" si="29"/>
        <v>666400</v>
      </c>
      <c r="K488" s="7">
        <v>582400</v>
      </c>
      <c r="L488" s="12">
        <f t="shared" si="30"/>
        <v>84000</v>
      </c>
      <c r="M488" s="8">
        <v>41671</v>
      </c>
      <c r="N488" s="9"/>
      <c r="O488" s="7"/>
      <c r="P488" s="10"/>
    </row>
    <row r="489" spans="1:16" ht="15.75" customHeight="1" x14ac:dyDescent="0.3">
      <c r="A489" s="11" t="s">
        <v>27</v>
      </c>
      <c r="B489" s="11" t="s">
        <v>28</v>
      </c>
      <c r="C489" s="12" t="s">
        <v>32</v>
      </c>
      <c r="D489" s="12" t="s">
        <v>35</v>
      </c>
      <c r="E489" s="11">
        <v>2993</v>
      </c>
      <c r="F489" s="12">
        <v>260</v>
      </c>
      <c r="G489" s="12">
        <v>300</v>
      </c>
      <c r="H489" s="7">
        <f t="shared" si="31"/>
        <v>897900</v>
      </c>
      <c r="I489" s="7">
        <f t="shared" si="28"/>
        <v>134685</v>
      </c>
      <c r="J489" s="7">
        <f t="shared" si="29"/>
        <v>763215</v>
      </c>
      <c r="K489" s="12">
        <v>748250</v>
      </c>
      <c r="L489" s="12">
        <f t="shared" si="30"/>
        <v>14965</v>
      </c>
      <c r="M489" s="13">
        <v>41699</v>
      </c>
      <c r="N489" s="14"/>
      <c r="O489" s="12"/>
      <c r="P489" s="15"/>
    </row>
    <row r="490" spans="1:16" ht="15.75" customHeight="1" x14ac:dyDescent="0.3">
      <c r="A490" s="6" t="s">
        <v>25</v>
      </c>
      <c r="B490" s="6" t="s">
        <v>17</v>
      </c>
      <c r="C490" s="7" t="s">
        <v>32</v>
      </c>
      <c r="D490" s="7" t="s">
        <v>35</v>
      </c>
      <c r="E490" s="6">
        <v>3520.5</v>
      </c>
      <c r="F490" s="7">
        <v>260</v>
      </c>
      <c r="G490" s="7">
        <v>12</v>
      </c>
      <c r="H490" s="7">
        <f t="shared" si="31"/>
        <v>42246</v>
      </c>
      <c r="I490" s="7">
        <f t="shared" si="28"/>
        <v>6336.9</v>
      </c>
      <c r="J490" s="7">
        <f t="shared" si="29"/>
        <v>35909.1</v>
      </c>
      <c r="K490" s="7">
        <v>10561.5</v>
      </c>
      <c r="L490" s="12">
        <f t="shared" si="30"/>
        <v>25347.599999999999</v>
      </c>
      <c r="M490" s="8">
        <v>41730</v>
      </c>
      <c r="N490" s="9"/>
      <c r="O490" s="7"/>
      <c r="P490" s="10"/>
    </row>
    <row r="491" spans="1:16" ht="15.75" customHeight="1" x14ac:dyDescent="0.3">
      <c r="A491" s="11" t="s">
        <v>16</v>
      </c>
      <c r="B491" s="11" t="s">
        <v>23</v>
      </c>
      <c r="C491" s="12" t="s">
        <v>32</v>
      </c>
      <c r="D491" s="12" t="s">
        <v>35</v>
      </c>
      <c r="E491" s="11">
        <v>2039</v>
      </c>
      <c r="F491" s="12">
        <v>260</v>
      </c>
      <c r="G491" s="12">
        <v>20</v>
      </c>
      <c r="H491" s="7">
        <f t="shared" si="31"/>
        <v>40780</v>
      </c>
      <c r="I491" s="7">
        <f t="shared" si="28"/>
        <v>6117</v>
      </c>
      <c r="J491" s="7">
        <f t="shared" si="29"/>
        <v>34663</v>
      </c>
      <c r="K491" s="12">
        <v>20390</v>
      </c>
      <c r="L491" s="12">
        <f t="shared" si="30"/>
        <v>14273</v>
      </c>
      <c r="M491" s="13">
        <v>41760</v>
      </c>
      <c r="N491" s="14"/>
      <c r="O491" s="12"/>
      <c r="P491" s="15"/>
    </row>
    <row r="492" spans="1:16" ht="15.75" customHeight="1" x14ac:dyDescent="0.3">
      <c r="A492" s="6" t="s">
        <v>25</v>
      </c>
      <c r="B492" s="6" t="s">
        <v>20</v>
      </c>
      <c r="C492" s="7" t="s">
        <v>32</v>
      </c>
      <c r="D492" s="7" t="s">
        <v>35</v>
      </c>
      <c r="E492" s="6">
        <v>2574</v>
      </c>
      <c r="F492" s="7">
        <v>260</v>
      </c>
      <c r="G492" s="7">
        <v>12</v>
      </c>
      <c r="H492" s="7">
        <f t="shared" si="31"/>
        <v>30888</v>
      </c>
      <c r="I492" s="7">
        <f t="shared" si="28"/>
        <v>4633.2</v>
      </c>
      <c r="J492" s="7">
        <f t="shared" si="29"/>
        <v>26254.799999999999</v>
      </c>
      <c r="K492" s="7">
        <v>7722</v>
      </c>
      <c r="L492" s="12">
        <f t="shared" si="30"/>
        <v>18532.8</v>
      </c>
      <c r="M492" s="8">
        <v>41852</v>
      </c>
      <c r="N492" s="9"/>
      <c r="O492" s="7"/>
      <c r="P492" s="10"/>
    </row>
    <row r="493" spans="1:16" ht="15.75" customHeight="1" x14ac:dyDescent="0.3">
      <c r="A493" s="11" t="s">
        <v>16</v>
      </c>
      <c r="B493" s="11" t="s">
        <v>17</v>
      </c>
      <c r="C493" s="12" t="s">
        <v>32</v>
      </c>
      <c r="D493" s="12" t="s">
        <v>35</v>
      </c>
      <c r="E493" s="11">
        <v>707</v>
      </c>
      <c r="F493" s="12">
        <v>260</v>
      </c>
      <c r="G493" s="12">
        <v>350</v>
      </c>
      <c r="H493" s="7">
        <f t="shared" si="31"/>
        <v>247450</v>
      </c>
      <c r="I493" s="7">
        <f t="shared" si="28"/>
        <v>37117.5</v>
      </c>
      <c r="J493" s="7">
        <f t="shared" si="29"/>
        <v>210332.5</v>
      </c>
      <c r="K493" s="12">
        <v>183820</v>
      </c>
      <c r="L493" s="12">
        <f t="shared" si="30"/>
        <v>26512.5</v>
      </c>
      <c r="M493" s="13">
        <v>41883</v>
      </c>
      <c r="N493" s="14"/>
      <c r="O493" s="12"/>
      <c r="P493" s="15"/>
    </row>
    <row r="494" spans="1:16" ht="15.75" customHeight="1" x14ac:dyDescent="0.3">
      <c r="A494" s="6" t="s">
        <v>21</v>
      </c>
      <c r="B494" s="6" t="s">
        <v>22</v>
      </c>
      <c r="C494" s="7" t="s">
        <v>32</v>
      </c>
      <c r="D494" s="7" t="s">
        <v>35</v>
      </c>
      <c r="E494" s="6">
        <v>2072</v>
      </c>
      <c r="F494" s="7">
        <v>260</v>
      </c>
      <c r="G494" s="7">
        <v>15</v>
      </c>
      <c r="H494" s="7">
        <f t="shared" si="31"/>
        <v>31080</v>
      </c>
      <c r="I494" s="7">
        <f t="shared" si="28"/>
        <v>4662</v>
      </c>
      <c r="J494" s="7">
        <f t="shared" si="29"/>
        <v>26418</v>
      </c>
      <c r="K494" s="7">
        <v>20720</v>
      </c>
      <c r="L494" s="12">
        <f t="shared" si="30"/>
        <v>5698</v>
      </c>
      <c r="M494" s="8">
        <v>41974</v>
      </c>
      <c r="N494" s="9"/>
      <c r="O494" s="7"/>
      <c r="P494" s="10"/>
    </row>
    <row r="495" spans="1:16" ht="15.75" customHeight="1" x14ac:dyDescent="0.3">
      <c r="A495" s="11" t="s">
        <v>27</v>
      </c>
      <c r="B495" s="11" t="s">
        <v>22</v>
      </c>
      <c r="C495" s="12" t="s">
        <v>32</v>
      </c>
      <c r="D495" s="12" t="s">
        <v>35</v>
      </c>
      <c r="E495" s="11">
        <v>853</v>
      </c>
      <c r="F495" s="12">
        <v>260</v>
      </c>
      <c r="G495" s="12">
        <v>300</v>
      </c>
      <c r="H495" s="7">
        <f t="shared" si="31"/>
        <v>255900</v>
      </c>
      <c r="I495" s="7">
        <f t="shared" si="28"/>
        <v>38385</v>
      </c>
      <c r="J495" s="7">
        <f t="shared" si="29"/>
        <v>217515</v>
      </c>
      <c r="K495" s="12">
        <v>213250</v>
      </c>
      <c r="L495" s="12">
        <f t="shared" si="30"/>
        <v>4265</v>
      </c>
      <c r="M495" s="13">
        <v>41974</v>
      </c>
      <c r="N495" s="14"/>
      <c r="O495" s="12"/>
      <c r="P495" s="15"/>
    </row>
    <row r="496" spans="1:16" ht="15.75" customHeight="1" x14ac:dyDescent="0.3">
      <c r="A496" s="6" t="s">
        <v>25</v>
      </c>
      <c r="B496" s="6" t="s">
        <v>22</v>
      </c>
      <c r="C496" s="7" t="s">
        <v>18</v>
      </c>
      <c r="D496" s="7" t="s">
        <v>35</v>
      </c>
      <c r="E496" s="6">
        <v>1198</v>
      </c>
      <c r="F496" s="7">
        <v>3</v>
      </c>
      <c r="G496" s="7">
        <v>12</v>
      </c>
      <c r="H496" s="7">
        <f t="shared" si="31"/>
        <v>14376</v>
      </c>
      <c r="I496" s="7">
        <f t="shared" si="28"/>
        <v>2156.4</v>
      </c>
      <c r="J496" s="7">
        <f t="shared" si="29"/>
        <v>12219.6</v>
      </c>
      <c r="K496" s="7">
        <v>3594</v>
      </c>
      <c r="L496" s="12">
        <f t="shared" si="30"/>
        <v>8625.6</v>
      </c>
      <c r="M496" s="8">
        <v>41548</v>
      </c>
      <c r="N496" s="9"/>
      <c r="O496" s="7"/>
      <c r="P496" s="10"/>
    </row>
    <row r="497" spans="1:16" ht="15.75" customHeight="1" x14ac:dyDescent="0.3">
      <c r="A497" s="11" t="s">
        <v>16</v>
      </c>
      <c r="B497" s="11" t="s">
        <v>22</v>
      </c>
      <c r="C497" s="12" t="s">
        <v>29</v>
      </c>
      <c r="D497" s="12" t="s">
        <v>35</v>
      </c>
      <c r="E497" s="11">
        <v>2532</v>
      </c>
      <c r="F497" s="12">
        <v>10</v>
      </c>
      <c r="G497" s="12">
        <v>7</v>
      </c>
      <c r="H497" s="7">
        <f t="shared" si="31"/>
        <v>17724</v>
      </c>
      <c r="I497" s="7">
        <f t="shared" si="28"/>
        <v>2658.6</v>
      </c>
      <c r="J497" s="7">
        <f t="shared" si="29"/>
        <v>15065.4</v>
      </c>
      <c r="K497" s="12">
        <v>12660</v>
      </c>
      <c r="L497" s="12">
        <f t="shared" si="30"/>
        <v>2405.3999999999996</v>
      </c>
      <c r="M497" s="13">
        <v>41730</v>
      </c>
      <c r="N497" s="14"/>
      <c r="O497" s="12"/>
      <c r="P497" s="15"/>
    </row>
    <row r="498" spans="1:16" ht="15.75" customHeight="1" x14ac:dyDescent="0.3">
      <c r="A498" s="6" t="s">
        <v>25</v>
      </c>
      <c r="B498" s="6" t="s">
        <v>22</v>
      </c>
      <c r="C498" s="7" t="s">
        <v>29</v>
      </c>
      <c r="D498" s="7" t="s">
        <v>35</v>
      </c>
      <c r="E498" s="6">
        <v>1198</v>
      </c>
      <c r="F498" s="7">
        <v>10</v>
      </c>
      <c r="G498" s="7">
        <v>12</v>
      </c>
      <c r="H498" s="7">
        <f t="shared" si="31"/>
        <v>14376</v>
      </c>
      <c r="I498" s="7">
        <f t="shared" si="28"/>
        <v>2156.4</v>
      </c>
      <c r="J498" s="7">
        <f t="shared" si="29"/>
        <v>12219.6</v>
      </c>
      <c r="K498" s="7">
        <v>3594</v>
      </c>
      <c r="L498" s="12">
        <f t="shared" si="30"/>
        <v>8625.6</v>
      </c>
      <c r="M498" s="8">
        <v>41548</v>
      </c>
      <c r="N498" s="9"/>
      <c r="O498" s="7"/>
      <c r="P498" s="10"/>
    </row>
    <row r="499" spans="1:16" ht="15.75" customHeight="1" x14ac:dyDescent="0.3">
      <c r="A499" s="11" t="s">
        <v>21</v>
      </c>
      <c r="B499" s="11" t="s">
        <v>17</v>
      </c>
      <c r="C499" s="12" t="s">
        <v>30</v>
      </c>
      <c r="D499" s="12" t="s">
        <v>35</v>
      </c>
      <c r="E499" s="11">
        <v>384</v>
      </c>
      <c r="F499" s="12">
        <v>120</v>
      </c>
      <c r="G499" s="12">
        <v>15</v>
      </c>
      <c r="H499" s="7">
        <f t="shared" si="31"/>
        <v>5760</v>
      </c>
      <c r="I499" s="7">
        <f t="shared" si="28"/>
        <v>864</v>
      </c>
      <c r="J499" s="7">
        <f t="shared" si="29"/>
        <v>4896</v>
      </c>
      <c r="K499" s="12">
        <v>3840</v>
      </c>
      <c r="L499" s="12">
        <f t="shared" si="30"/>
        <v>1056</v>
      </c>
      <c r="M499" s="13">
        <v>41640</v>
      </c>
      <c r="N499" s="14"/>
      <c r="O499" s="12"/>
      <c r="P499" s="15"/>
    </row>
    <row r="500" spans="1:16" ht="15.75" customHeight="1" x14ac:dyDescent="0.3">
      <c r="A500" s="6" t="s">
        <v>25</v>
      </c>
      <c r="B500" s="6" t="s">
        <v>20</v>
      </c>
      <c r="C500" s="7" t="s">
        <v>30</v>
      </c>
      <c r="D500" s="7" t="s">
        <v>35</v>
      </c>
      <c r="E500" s="6">
        <v>472</v>
      </c>
      <c r="F500" s="7">
        <v>120</v>
      </c>
      <c r="G500" s="7">
        <v>12</v>
      </c>
      <c r="H500" s="7">
        <f t="shared" si="31"/>
        <v>5664</v>
      </c>
      <c r="I500" s="7">
        <f t="shared" si="28"/>
        <v>849.6</v>
      </c>
      <c r="J500" s="7">
        <f t="shared" si="29"/>
        <v>4814.3999999999996</v>
      </c>
      <c r="K500" s="7">
        <v>1416</v>
      </c>
      <c r="L500" s="12">
        <f t="shared" si="30"/>
        <v>3398.3999999999996</v>
      </c>
      <c r="M500" s="8">
        <v>41913</v>
      </c>
      <c r="N500" s="9"/>
      <c r="O500" s="7"/>
      <c r="P500" s="10"/>
    </row>
    <row r="501" spans="1:16" ht="15.75" customHeight="1" x14ac:dyDescent="0.3">
      <c r="A501" s="11" t="s">
        <v>16</v>
      </c>
      <c r="B501" s="11" t="s">
        <v>28</v>
      </c>
      <c r="C501" s="12" t="s">
        <v>31</v>
      </c>
      <c r="D501" s="12" t="s">
        <v>35</v>
      </c>
      <c r="E501" s="11">
        <v>1579</v>
      </c>
      <c r="F501" s="12">
        <v>250</v>
      </c>
      <c r="G501" s="12">
        <v>7</v>
      </c>
      <c r="H501" s="7">
        <f t="shared" si="31"/>
        <v>11053</v>
      </c>
      <c r="I501" s="7">
        <f t="shared" si="28"/>
        <v>1657.95</v>
      </c>
      <c r="J501" s="7">
        <f t="shared" si="29"/>
        <v>9395.0499999999993</v>
      </c>
      <c r="K501" s="12">
        <v>7895</v>
      </c>
      <c r="L501" s="12">
        <f t="shared" si="30"/>
        <v>1500.0499999999993</v>
      </c>
      <c r="M501" s="13">
        <v>41699</v>
      </c>
      <c r="N501" s="14"/>
      <c r="O501" s="12"/>
      <c r="P501" s="15"/>
    </row>
    <row r="502" spans="1:16" ht="15.75" customHeight="1" x14ac:dyDescent="0.3">
      <c r="A502" s="6" t="s">
        <v>25</v>
      </c>
      <c r="B502" s="6" t="s">
        <v>23</v>
      </c>
      <c r="C502" s="7" t="s">
        <v>31</v>
      </c>
      <c r="D502" s="7" t="s">
        <v>35</v>
      </c>
      <c r="E502" s="6">
        <v>1005</v>
      </c>
      <c r="F502" s="7">
        <v>250</v>
      </c>
      <c r="G502" s="7">
        <v>12</v>
      </c>
      <c r="H502" s="7">
        <f t="shared" si="31"/>
        <v>12060</v>
      </c>
      <c r="I502" s="7">
        <f t="shared" si="28"/>
        <v>1809</v>
      </c>
      <c r="J502" s="7">
        <f t="shared" si="29"/>
        <v>10251</v>
      </c>
      <c r="K502" s="7">
        <v>3015</v>
      </c>
      <c r="L502" s="12">
        <f t="shared" si="30"/>
        <v>7236</v>
      </c>
      <c r="M502" s="8">
        <v>41518</v>
      </c>
      <c r="N502" s="9"/>
      <c r="O502" s="7"/>
      <c r="P502" s="10"/>
    </row>
    <row r="503" spans="1:16" ht="15.75" customHeight="1" x14ac:dyDescent="0.3">
      <c r="A503" s="11" t="s">
        <v>21</v>
      </c>
      <c r="B503" s="11" t="s">
        <v>28</v>
      </c>
      <c r="C503" s="12" t="s">
        <v>32</v>
      </c>
      <c r="D503" s="12" t="s">
        <v>35</v>
      </c>
      <c r="E503" s="11">
        <v>3199.5</v>
      </c>
      <c r="F503" s="12">
        <v>260</v>
      </c>
      <c r="G503" s="12">
        <v>15</v>
      </c>
      <c r="H503" s="7">
        <f t="shared" si="31"/>
        <v>47992.5</v>
      </c>
      <c r="I503" s="7">
        <f t="shared" si="28"/>
        <v>7198.875</v>
      </c>
      <c r="J503" s="7">
        <f t="shared" si="29"/>
        <v>40793.625</v>
      </c>
      <c r="K503" s="12">
        <v>31995</v>
      </c>
      <c r="L503" s="12">
        <f t="shared" si="30"/>
        <v>8798.625</v>
      </c>
      <c r="M503" s="13">
        <v>41821</v>
      </c>
      <c r="N503" s="14"/>
      <c r="O503" s="12"/>
      <c r="P503" s="15"/>
    </row>
    <row r="504" spans="1:16" ht="15.75" customHeight="1" x14ac:dyDescent="0.3">
      <c r="A504" s="6" t="s">
        <v>25</v>
      </c>
      <c r="B504" s="6" t="s">
        <v>20</v>
      </c>
      <c r="C504" s="7" t="s">
        <v>32</v>
      </c>
      <c r="D504" s="7" t="s">
        <v>35</v>
      </c>
      <c r="E504" s="6">
        <v>472</v>
      </c>
      <c r="F504" s="7">
        <v>260</v>
      </c>
      <c r="G504" s="7">
        <v>12</v>
      </c>
      <c r="H504" s="7">
        <f t="shared" si="31"/>
        <v>5664</v>
      </c>
      <c r="I504" s="7">
        <f t="shared" si="28"/>
        <v>849.6</v>
      </c>
      <c r="J504" s="7">
        <f t="shared" si="29"/>
        <v>4814.3999999999996</v>
      </c>
      <c r="K504" s="7">
        <v>1416</v>
      </c>
      <c r="L504" s="12">
        <f t="shared" si="30"/>
        <v>3398.3999999999996</v>
      </c>
      <c r="M504" s="8">
        <v>41913</v>
      </c>
      <c r="N504" s="9"/>
      <c r="O504" s="7"/>
      <c r="P504" s="10"/>
    </row>
    <row r="505" spans="1:16" ht="15.75" customHeight="1" x14ac:dyDescent="0.3">
      <c r="A505" s="11" t="s">
        <v>25</v>
      </c>
      <c r="B505" s="11" t="s">
        <v>17</v>
      </c>
      <c r="C505" s="12" t="s">
        <v>18</v>
      </c>
      <c r="D505" s="12" t="s">
        <v>35</v>
      </c>
      <c r="E505" s="11">
        <v>1937</v>
      </c>
      <c r="F505" s="12">
        <v>3</v>
      </c>
      <c r="G505" s="12">
        <v>12</v>
      </c>
      <c r="H505" s="7">
        <f t="shared" si="31"/>
        <v>23244</v>
      </c>
      <c r="I505" s="7">
        <f t="shared" si="28"/>
        <v>3486.6</v>
      </c>
      <c r="J505" s="7">
        <f t="shared" si="29"/>
        <v>19757.400000000001</v>
      </c>
      <c r="K505" s="12">
        <v>5811</v>
      </c>
      <c r="L505" s="12">
        <f t="shared" si="30"/>
        <v>13946.400000000001</v>
      </c>
      <c r="M505" s="13">
        <v>41671</v>
      </c>
      <c r="N505" s="14"/>
      <c r="O505" s="12"/>
      <c r="P505" s="15"/>
    </row>
    <row r="506" spans="1:16" ht="15.75" customHeight="1" x14ac:dyDescent="0.3">
      <c r="A506" s="6" t="s">
        <v>16</v>
      </c>
      <c r="B506" s="6" t="s">
        <v>20</v>
      </c>
      <c r="C506" s="7" t="s">
        <v>18</v>
      </c>
      <c r="D506" s="7" t="s">
        <v>35</v>
      </c>
      <c r="E506" s="6">
        <v>792</v>
      </c>
      <c r="F506" s="7">
        <v>3</v>
      </c>
      <c r="G506" s="7">
        <v>350</v>
      </c>
      <c r="H506" s="7">
        <f t="shared" si="31"/>
        <v>277200</v>
      </c>
      <c r="I506" s="7">
        <f t="shared" si="28"/>
        <v>41580</v>
      </c>
      <c r="J506" s="7">
        <f t="shared" si="29"/>
        <v>235620</v>
      </c>
      <c r="K506" s="7">
        <v>205920</v>
      </c>
      <c r="L506" s="12">
        <f t="shared" si="30"/>
        <v>29700</v>
      </c>
      <c r="M506" s="8">
        <v>41699</v>
      </c>
      <c r="N506" s="9"/>
      <c r="O506" s="7"/>
      <c r="P506" s="10"/>
    </row>
    <row r="507" spans="1:16" ht="15.75" customHeight="1" x14ac:dyDescent="0.3">
      <c r="A507" s="11" t="s">
        <v>27</v>
      </c>
      <c r="B507" s="11" t="s">
        <v>20</v>
      </c>
      <c r="C507" s="12" t="s">
        <v>18</v>
      </c>
      <c r="D507" s="12" t="s">
        <v>35</v>
      </c>
      <c r="E507" s="11">
        <v>2811</v>
      </c>
      <c r="F507" s="12">
        <v>3</v>
      </c>
      <c r="G507" s="12">
        <v>300</v>
      </c>
      <c r="H507" s="7">
        <f t="shared" si="31"/>
        <v>843300</v>
      </c>
      <c r="I507" s="7">
        <f t="shared" si="28"/>
        <v>126495</v>
      </c>
      <c r="J507" s="7">
        <f t="shared" si="29"/>
        <v>716805</v>
      </c>
      <c r="K507" s="12">
        <v>702750</v>
      </c>
      <c r="L507" s="12">
        <f t="shared" si="30"/>
        <v>14055</v>
      </c>
      <c r="M507" s="13">
        <v>41821</v>
      </c>
      <c r="N507" s="14"/>
      <c r="O507" s="12"/>
      <c r="P507" s="15"/>
    </row>
    <row r="508" spans="1:16" ht="15.75" customHeight="1" x14ac:dyDescent="0.3">
      <c r="A508" s="6" t="s">
        <v>26</v>
      </c>
      <c r="B508" s="6" t="s">
        <v>22</v>
      </c>
      <c r="C508" s="7" t="s">
        <v>18</v>
      </c>
      <c r="D508" s="7" t="s">
        <v>35</v>
      </c>
      <c r="E508" s="6">
        <v>2441</v>
      </c>
      <c r="F508" s="7">
        <v>3</v>
      </c>
      <c r="G508" s="7">
        <v>125</v>
      </c>
      <c r="H508" s="7">
        <f t="shared" si="31"/>
        <v>305125</v>
      </c>
      <c r="I508" s="7">
        <f t="shared" si="28"/>
        <v>45768.75</v>
      </c>
      <c r="J508" s="7">
        <f t="shared" si="29"/>
        <v>259356.25</v>
      </c>
      <c r="K508" s="7">
        <v>292920</v>
      </c>
      <c r="L508" s="12">
        <f t="shared" si="30"/>
        <v>-33563.75</v>
      </c>
      <c r="M508" s="8">
        <v>41913</v>
      </c>
      <c r="N508" s="9"/>
      <c r="O508" s="7"/>
      <c r="P508" s="10"/>
    </row>
    <row r="509" spans="1:16" ht="15.75" customHeight="1" x14ac:dyDescent="0.3">
      <c r="A509" s="11" t="s">
        <v>21</v>
      </c>
      <c r="B509" s="11" t="s">
        <v>17</v>
      </c>
      <c r="C509" s="12" t="s">
        <v>18</v>
      </c>
      <c r="D509" s="12" t="s">
        <v>35</v>
      </c>
      <c r="E509" s="11">
        <v>1560</v>
      </c>
      <c r="F509" s="12">
        <v>3</v>
      </c>
      <c r="G509" s="12">
        <v>15</v>
      </c>
      <c r="H509" s="7">
        <f t="shared" si="31"/>
        <v>23400</v>
      </c>
      <c r="I509" s="7">
        <f t="shared" si="28"/>
        <v>3510</v>
      </c>
      <c r="J509" s="7">
        <f t="shared" si="29"/>
        <v>19890</v>
      </c>
      <c r="K509" s="12">
        <v>15600</v>
      </c>
      <c r="L509" s="12">
        <f t="shared" si="30"/>
        <v>4290</v>
      </c>
      <c r="M509" s="13">
        <v>41579</v>
      </c>
      <c r="N509" s="14"/>
      <c r="O509" s="12"/>
      <c r="P509" s="15"/>
    </row>
    <row r="510" spans="1:16" ht="15.75" customHeight="1" x14ac:dyDescent="0.3">
      <c r="A510" s="6" t="s">
        <v>16</v>
      </c>
      <c r="B510" s="6" t="s">
        <v>23</v>
      </c>
      <c r="C510" s="7" t="s">
        <v>18</v>
      </c>
      <c r="D510" s="7" t="s">
        <v>35</v>
      </c>
      <c r="E510" s="6">
        <v>2706</v>
      </c>
      <c r="F510" s="7">
        <v>3</v>
      </c>
      <c r="G510" s="7">
        <v>7</v>
      </c>
      <c r="H510" s="7">
        <f t="shared" si="31"/>
        <v>18942</v>
      </c>
      <c r="I510" s="7">
        <f t="shared" si="28"/>
        <v>2841.2999999999997</v>
      </c>
      <c r="J510" s="7">
        <f t="shared" si="29"/>
        <v>16100.7</v>
      </c>
      <c r="K510" s="7">
        <v>13530</v>
      </c>
      <c r="L510" s="12">
        <f t="shared" si="30"/>
        <v>2570.7000000000007</v>
      </c>
      <c r="M510" s="8">
        <v>41579</v>
      </c>
      <c r="N510" s="9"/>
      <c r="O510" s="7"/>
      <c r="P510" s="10"/>
    </row>
    <row r="511" spans="1:16" ht="15.75" customHeight="1" x14ac:dyDescent="0.3">
      <c r="A511" s="11" t="s">
        <v>16</v>
      </c>
      <c r="B511" s="11" t="s">
        <v>20</v>
      </c>
      <c r="C511" s="12" t="s">
        <v>24</v>
      </c>
      <c r="D511" s="12" t="s">
        <v>35</v>
      </c>
      <c r="E511" s="11">
        <v>766</v>
      </c>
      <c r="F511" s="12">
        <v>5</v>
      </c>
      <c r="G511" s="12">
        <v>350</v>
      </c>
      <c r="H511" s="7">
        <f t="shared" si="31"/>
        <v>268100</v>
      </c>
      <c r="I511" s="7">
        <f t="shared" si="28"/>
        <v>40215</v>
      </c>
      <c r="J511" s="7">
        <f t="shared" si="29"/>
        <v>227885</v>
      </c>
      <c r="K511" s="12">
        <v>199160</v>
      </c>
      <c r="L511" s="12">
        <f t="shared" si="30"/>
        <v>28725</v>
      </c>
      <c r="M511" s="13">
        <v>41640</v>
      </c>
      <c r="N511" s="14"/>
      <c r="O511" s="12"/>
      <c r="P511" s="15"/>
    </row>
    <row r="512" spans="1:16" ht="15.75" customHeight="1" x14ac:dyDescent="0.3">
      <c r="A512" s="6" t="s">
        <v>16</v>
      </c>
      <c r="B512" s="6" t="s">
        <v>20</v>
      </c>
      <c r="C512" s="7" t="s">
        <v>24</v>
      </c>
      <c r="D512" s="7" t="s">
        <v>35</v>
      </c>
      <c r="E512" s="6">
        <v>2992</v>
      </c>
      <c r="F512" s="7">
        <v>5</v>
      </c>
      <c r="G512" s="7">
        <v>20</v>
      </c>
      <c r="H512" s="7">
        <f t="shared" si="31"/>
        <v>59840</v>
      </c>
      <c r="I512" s="7">
        <f t="shared" si="28"/>
        <v>8976</v>
      </c>
      <c r="J512" s="7">
        <f t="shared" si="29"/>
        <v>50864</v>
      </c>
      <c r="K512" s="7">
        <v>29920</v>
      </c>
      <c r="L512" s="12">
        <f t="shared" si="30"/>
        <v>20944</v>
      </c>
      <c r="M512" s="8">
        <v>41548</v>
      </c>
      <c r="N512" s="9"/>
      <c r="O512" s="7"/>
      <c r="P512" s="10"/>
    </row>
    <row r="513" spans="1:16" ht="15.75" customHeight="1" x14ac:dyDescent="0.3">
      <c r="A513" s="11" t="s">
        <v>21</v>
      </c>
      <c r="B513" s="11" t="s">
        <v>23</v>
      </c>
      <c r="C513" s="12" t="s">
        <v>24</v>
      </c>
      <c r="D513" s="12" t="s">
        <v>35</v>
      </c>
      <c r="E513" s="11">
        <v>2157</v>
      </c>
      <c r="F513" s="12">
        <v>5</v>
      </c>
      <c r="G513" s="12">
        <v>15</v>
      </c>
      <c r="H513" s="7">
        <f t="shared" si="31"/>
        <v>32355</v>
      </c>
      <c r="I513" s="7">
        <f t="shared" si="28"/>
        <v>4853.25</v>
      </c>
      <c r="J513" s="7">
        <f t="shared" si="29"/>
        <v>27501.75</v>
      </c>
      <c r="K513" s="12">
        <v>21570</v>
      </c>
      <c r="L513" s="12">
        <f t="shared" si="30"/>
        <v>5931.75</v>
      </c>
      <c r="M513" s="13">
        <v>41974</v>
      </c>
      <c r="N513" s="14"/>
      <c r="O513" s="12"/>
      <c r="P513" s="15"/>
    </row>
    <row r="514" spans="1:16" ht="15.75" customHeight="1" x14ac:dyDescent="0.3">
      <c r="A514" s="6" t="s">
        <v>27</v>
      </c>
      <c r="B514" s="6" t="s">
        <v>17</v>
      </c>
      <c r="C514" s="7" t="s">
        <v>29</v>
      </c>
      <c r="D514" s="7" t="s">
        <v>35</v>
      </c>
      <c r="E514" s="6">
        <v>873</v>
      </c>
      <c r="F514" s="7">
        <v>10</v>
      </c>
      <c r="G514" s="7">
        <v>300</v>
      </c>
      <c r="H514" s="7">
        <f t="shared" si="31"/>
        <v>261900</v>
      </c>
      <c r="I514" s="7">
        <f t="shared" si="28"/>
        <v>39285</v>
      </c>
      <c r="J514" s="7">
        <f t="shared" si="29"/>
        <v>222615</v>
      </c>
      <c r="K514" s="7">
        <v>218250</v>
      </c>
      <c r="L514" s="12">
        <f t="shared" si="30"/>
        <v>4365</v>
      </c>
      <c r="M514" s="8">
        <v>41640</v>
      </c>
      <c r="N514" s="9"/>
      <c r="O514" s="7"/>
      <c r="P514" s="10"/>
    </row>
    <row r="515" spans="1:16" ht="15.75" customHeight="1" x14ac:dyDescent="0.3">
      <c r="A515" s="11" t="s">
        <v>16</v>
      </c>
      <c r="B515" s="11" t="s">
        <v>23</v>
      </c>
      <c r="C515" s="12" t="s">
        <v>29</v>
      </c>
      <c r="D515" s="12" t="s">
        <v>35</v>
      </c>
      <c r="E515" s="11">
        <v>1122</v>
      </c>
      <c r="F515" s="12">
        <v>10</v>
      </c>
      <c r="G515" s="12">
        <v>20</v>
      </c>
      <c r="H515" s="7">
        <f t="shared" si="31"/>
        <v>22440</v>
      </c>
      <c r="I515" s="7">
        <f t="shared" ref="I515:I578" si="32">IF(D515="None", 0, IF(D515="Low", H515*0.05, IF(D515="Medium", H515*0.1, IF(D515="High", H515*0.15, 0))))</f>
        <v>3366</v>
      </c>
      <c r="J515" s="7">
        <f t="shared" ref="J515:J578" si="33">H515-I515</f>
        <v>19074</v>
      </c>
      <c r="K515" s="12">
        <v>11220</v>
      </c>
      <c r="L515" s="12">
        <f t="shared" si="30"/>
        <v>7854</v>
      </c>
      <c r="M515" s="13">
        <v>41699</v>
      </c>
      <c r="N515" s="14"/>
      <c r="O515" s="12"/>
      <c r="P515" s="15"/>
    </row>
    <row r="516" spans="1:16" ht="15.75" customHeight="1" x14ac:dyDescent="0.3">
      <c r="A516" s="6" t="s">
        <v>16</v>
      </c>
      <c r="B516" s="6" t="s">
        <v>17</v>
      </c>
      <c r="C516" s="7" t="s">
        <v>29</v>
      </c>
      <c r="D516" s="7" t="s">
        <v>35</v>
      </c>
      <c r="E516" s="6">
        <v>2104.5</v>
      </c>
      <c r="F516" s="7">
        <v>10</v>
      </c>
      <c r="G516" s="7">
        <v>350</v>
      </c>
      <c r="H516" s="7">
        <f t="shared" si="31"/>
        <v>736575</v>
      </c>
      <c r="I516" s="7">
        <f t="shared" si="32"/>
        <v>110486.25</v>
      </c>
      <c r="J516" s="7">
        <f t="shared" si="33"/>
        <v>626088.75</v>
      </c>
      <c r="K516" s="7">
        <v>547170</v>
      </c>
      <c r="L516" s="12">
        <f t="shared" ref="L516:L579" si="34">J516-K516</f>
        <v>78918.75</v>
      </c>
      <c r="M516" s="8">
        <v>41821</v>
      </c>
      <c r="N516" s="9"/>
      <c r="O516" s="7"/>
      <c r="P516" s="10"/>
    </row>
    <row r="517" spans="1:16" ht="15.75" customHeight="1" x14ac:dyDescent="0.3">
      <c r="A517" s="11" t="s">
        <v>25</v>
      </c>
      <c r="B517" s="11" t="s">
        <v>17</v>
      </c>
      <c r="C517" s="12" t="s">
        <v>29</v>
      </c>
      <c r="D517" s="12" t="s">
        <v>35</v>
      </c>
      <c r="E517" s="11">
        <v>4026</v>
      </c>
      <c r="F517" s="12">
        <v>10</v>
      </c>
      <c r="G517" s="12">
        <v>12</v>
      </c>
      <c r="H517" s="7">
        <f t="shared" ref="H517:H580" si="35">E517*G517</f>
        <v>48312</v>
      </c>
      <c r="I517" s="7">
        <f t="shared" si="32"/>
        <v>7246.8</v>
      </c>
      <c r="J517" s="7">
        <f t="shared" si="33"/>
        <v>41065.199999999997</v>
      </c>
      <c r="K517" s="12">
        <v>12078</v>
      </c>
      <c r="L517" s="12">
        <f t="shared" si="34"/>
        <v>28987.199999999997</v>
      </c>
      <c r="M517" s="13">
        <v>41821</v>
      </c>
      <c r="N517" s="14"/>
      <c r="O517" s="12"/>
      <c r="P517" s="15"/>
    </row>
    <row r="518" spans="1:16" ht="15.75" customHeight="1" x14ac:dyDescent="0.3">
      <c r="A518" s="6" t="s">
        <v>25</v>
      </c>
      <c r="B518" s="6" t="s">
        <v>22</v>
      </c>
      <c r="C518" s="7" t="s">
        <v>29</v>
      </c>
      <c r="D518" s="7" t="s">
        <v>35</v>
      </c>
      <c r="E518" s="6">
        <v>2425.5</v>
      </c>
      <c r="F518" s="7">
        <v>10</v>
      </c>
      <c r="G518" s="7">
        <v>12</v>
      </c>
      <c r="H518" s="7">
        <f t="shared" si="35"/>
        <v>29106</v>
      </c>
      <c r="I518" s="7">
        <f t="shared" si="32"/>
        <v>4365.8999999999996</v>
      </c>
      <c r="J518" s="7">
        <f t="shared" si="33"/>
        <v>24740.1</v>
      </c>
      <c r="K518" s="7">
        <v>7276.5</v>
      </c>
      <c r="L518" s="12">
        <f t="shared" si="34"/>
        <v>17463.599999999999</v>
      </c>
      <c r="M518" s="8">
        <v>41821</v>
      </c>
      <c r="N518" s="9"/>
      <c r="O518" s="7"/>
      <c r="P518" s="10"/>
    </row>
    <row r="519" spans="1:16" ht="15.75" customHeight="1" x14ac:dyDescent="0.3">
      <c r="A519" s="11" t="s">
        <v>16</v>
      </c>
      <c r="B519" s="11" t="s">
        <v>17</v>
      </c>
      <c r="C519" s="12" t="s">
        <v>29</v>
      </c>
      <c r="D519" s="12" t="s">
        <v>35</v>
      </c>
      <c r="E519" s="11">
        <v>2394</v>
      </c>
      <c r="F519" s="12">
        <v>10</v>
      </c>
      <c r="G519" s="12">
        <v>20</v>
      </c>
      <c r="H519" s="7">
        <f t="shared" si="35"/>
        <v>47880</v>
      </c>
      <c r="I519" s="7">
        <f t="shared" si="32"/>
        <v>7182</v>
      </c>
      <c r="J519" s="7">
        <f t="shared" si="33"/>
        <v>40698</v>
      </c>
      <c r="K519" s="12">
        <v>23940</v>
      </c>
      <c r="L519" s="12">
        <f t="shared" si="34"/>
        <v>16758</v>
      </c>
      <c r="M519" s="13">
        <v>41852</v>
      </c>
      <c r="N519" s="14"/>
      <c r="O519" s="12"/>
      <c r="P519" s="15"/>
    </row>
    <row r="520" spans="1:16" ht="15.75" customHeight="1" x14ac:dyDescent="0.3">
      <c r="A520" s="6" t="s">
        <v>21</v>
      </c>
      <c r="B520" s="6" t="s">
        <v>23</v>
      </c>
      <c r="C520" s="7" t="s">
        <v>29</v>
      </c>
      <c r="D520" s="7" t="s">
        <v>35</v>
      </c>
      <c r="E520" s="6">
        <v>1984</v>
      </c>
      <c r="F520" s="7">
        <v>10</v>
      </c>
      <c r="G520" s="7">
        <v>15</v>
      </c>
      <c r="H520" s="7">
        <f t="shared" si="35"/>
        <v>29760</v>
      </c>
      <c r="I520" s="7">
        <f t="shared" si="32"/>
        <v>4464</v>
      </c>
      <c r="J520" s="7">
        <f t="shared" si="33"/>
        <v>25296</v>
      </c>
      <c r="K520" s="7">
        <v>19840</v>
      </c>
      <c r="L520" s="12">
        <f t="shared" si="34"/>
        <v>5456</v>
      </c>
      <c r="M520" s="8">
        <v>41852</v>
      </c>
      <c r="N520" s="9"/>
      <c r="O520" s="7"/>
      <c r="P520" s="10"/>
    </row>
    <row r="521" spans="1:16" ht="15.75" customHeight="1" x14ac:dyDescent="0.3">
      <c r="A521" s="11" t="s">
        <v>26</v>
      </c>
      <c r="B521" s="11" t="s">
        <v>22</v>
      </c>
      <c r="C521" s="12" t="s">
        <v>29</v>
      </c>
      <c r="D521" s="12" t="s">
        <v>35</v>
      </c>
      <c r="E521" s="11">
        <v>2441</v>
      </c>
      <c r="F521" s="12">
        <v>10</v>
      </c>
      <c r="G521" s="12">
        <v>125</v>
      </c>
      <c r="H521" s="7">
        <f t="shared" si="35"/>
        <v>305125</v>
      </c>
      <c r="I521" s="7">
        <f t="shared" si="32"/>
        <v>45768.75</v>
      </c>
      <c r="J521" s="7">
        <f t="shared" si="33"/>
        <v>259356.25</v>
      </c>
      <c r="K521" s="12">
        <v>292920</v>
      </c>
      <c r="L521" s="12">
        <f t="shared" si="34"/>
        <v>-33563.75</v>
      </c>
      <c r="M521" s="13">
        <v>41913</v>
      </c>
      <c r="N521" s="14"/>
      <c r="O521" s="12"/>
      <c r="P521" s="15"/>
    </row>
    <row r="522" spans="1:16" ht="15.75" customHeight="1" x14ac:dyDescent="0.3">
      <c r="A522" s="6" t="s">
        <v>16</v>
      </c>
      <c r="B522" s="6" t="s">
        <v>20</v>
      </c>
      <c r="C522" s="7" t="s">
        <v>29</v>
      </c>
      <c r="D522" s="7" t="s">
        <v>35</v>
      </c>
      <c r="E522" s="6">
        <v>2992</v>
      </c>
      <c r="F522" s="7">
        <v>10</v>
      </c>
      <c r="G522" s="7">
        <v>20</v>
      </c>
      <c r="H522" s="7">
        <f t="shared" si="35"/>
        <v>59840</v>
      </c>
      <c r="I522" s="7">
        <f t="shared" si="32"/>
        <v>8976</v>
      </c>
      <c r="J522" s="7">
        <f t="shared" si="33"/>
        <v>50864</v>
      </c>
      <c r="K522" s="7">
        <v>29920</v>
      </c>
      <c r="L522" s="12">
        <f t="shared" si="34"/>
        <v>20944</v>
      </c>
      <c r="M522" s="8">
        <v>41548</v>
      </c>
      <c r="N522" s="9"/>
      <c r="O522" s="7"/>
      <c r="P522" s="10"/>
    </row>
    <row r="523" spans="1:16" ht="15.75" customHeight="1" x14ac:dyDescent="0.3">
      <c r="A523" s="11" t="s">
        <v>27</v>
      </c>
      <c r="B523" s="11" t="s">
        <v>17</v>
      </c>
      <c r="C523" s="12" t="s">
        <v>29</v>
      </c>
      <c r="D523" s="12" t="s">
        <v>35</v>
      </c>
      <c r="E523" s="11">
        <v>1366</v>
      </c>
      <c r="F523" s="12">
        <v>10</v>
      </c>
      <c r="G523" s="12">
        <v>300</v>
      </c>
      <c r="H523" s="7">
        <f t="shared" si="35"/>
        <v>409800</v>
      </c>
      <c r="I523" s="7">
        <f t="shared" si="32"/>
        <v>61470</v>
      </c>
      <c r="J523" s="7">
        <f t="shared" si="33"/>
        <v>348330</v>
      </c>
      <c r="K523" s="12">
        <v>341500</v>
      </c>
      <c r="L523" s="12">
        <f t="shared" si="34"/>
        <v>6830</v>
      </c>
      <c r="M523" s="13">
        <v>41944</v>
      </c>
      <c r="N523" s="14"/>
      <c r="O523" s="12"/>
      <c r="P523" s="15"/>
    </row>
    <row r="524" spans="1:16" ht="15.75" customHeight="1" x14ac:dyDescent="0.3">
      <c r="A524" s="6" t="s">
        <v>16</v>
      </c>
      <c r="B524" s="6" t="s">
        <v>22</v>
      </c>
      <c r="C524" s="7" t="s">
        <v>30</v>
      </c>
      <c r="D524" s="7" t="s">
        <v>35</v>
      </c>
      <c r="E524" s="6">
        <v>2805</v>
      </c>
      <c r="F524" s="7">
        <v>120</v>
      </c>
      <c r="G524" s="7">
        <v>20</v>
      </c>
      <c r="H524" s="7">
        <f t="shared" si="35"/>
        <v>56100</v>
      </c>
      <c r="I524" s="7">
        <f t="shared" si="32"/>
        <v>8415</v>
      </c>
      <c r="J524" s="7">
        <f t="shared" si="33"/>
        <v>47685</v>
      </c>
      <c r="K524" s="7">
        <v>28050</v>
      </c>
      <c r="L524" s="12">
        <f t="shared" si="34"/>
        <v>19635</v>
      </c>
      <c r="M524" s="8">
        <v>41518</v>
      </c>
      <c r="N524" s="9"/>
      <c r="O524" s="7"/>
      <c r="P524" s="10"/>
    </row>
    <row r="525" spans="1:16" ht="15.75" customHeight="1" x14ac:dyDescent="0.3">
      <c r="A525" s="11" t="s">
        <v>21</v>
      </c>
      <c r="B525" s="11" t="s">
        <v>23</v>
      </c>
      <c r="C525" s="12" t="s">
        <v>30</v>
      </c>
      <c r="D525" s="12" t="s">
        <v>35</v>
      </c>
      <c r="E525" s="11">
        <v>655</v>
      </c>
      <c r="F525" s="12">
        <v>120</v>
      </c>
      <c r="G525" s="12">
        <v>15</v>
      </c>
      <c r="H525" s="7">
        <f t="shared" si="35"/>
        <v>9825</v>
      </c>
      <c r="I525" s="7">
        <f t="shared" si="32"/>
        <v>1473.75</v>
      </c>
      <c r="J525" s="7">
        <f t="shared" si="33"/>
        <v>8351.25</v>
      </c>
      <c r="K525" s="12">
        <v>6550</v>
      </c>
      <c r="L525" s="12">
        <f t="shared" si="34"/>
        <v>1801.25</v>
      </c>
      <c r="M525" s="13">
        <v>41518</v>
      </c>
      <c r="N525" s="14"/>
      <c r="O525" s="12"/>
      <c r="P525" s="15"/>
    </row>
    <row r="526" spans="1:16" ht="15.75" customHeight="1" x14ac:dyDescent="0.3">
      <c r="A526" s="6" t="s">
        <v>16</v>
      </c>
      <c r="B526" s="6" t="s">
        <v>23</v>
      </c>
      <c r="C526" s="7" t="s">
        <v>30</v>
      </c>
      <c r="D526" s="7" t="s">
        <v>35</v>
      </c>
      <c r="E526" s="6">
        <v>344</v>
      </c>
      <c r="F526" s="7">
        <v>120</v>
      </c>
      <c r="G526" s="7">
        <v>350</v>
      </c>
      <c r="H526" s="7">
        <f t="shared" si="35"/>
        <v>120400</v>
      </c>
      <c r="I526" s="7">
        <f t="shared" si="32"/>
        <v>18060</v>
      </c>
      <c r="J526" s="7">
        <f t="shared" si="33"/>
        <v>102340</v>
      </c>
      <c r="K526" s="7">
        <v>89440</v>
      </c>
      <c r="L526" s="12">
        <f t="shared" si="34"/>
        <v>12900</v>
      </c>
      <c r="M526" s="8">
        <v>41548</v>
      </c>
      <c r="N526" s="9"/>
      <c r="O526" s="7"/>
      <c r="P526" s="10"/>
    </row>
    <row r="527" spans="1:16" ht="15.75" customHeight="1" x14ac:dyDescent="0.3">
      <c r="A527" s="11" t="s">
        <v>16</v>
      </c>
      <c r="B527" s="11" t="s">
        <v>17</v>
      </c>
      <c r="C527" s="12" t="s">
        <v>30</v>
      </c>
      <c r="D527" s="12" t="s">
        <v>35</v>
      </c>
      <c r="E527" s="11">
        <v>1808</v>
      </c>
      <c r="F527" s="12">
        <v>120</v>
      </c>
      <c r="G527" s="12">
        <v>7</v>
      </c>
      <c r="H527" s="7">
        <f t="shared" si="35"/>
        <v>12656</v>
      </c>
      <c r="I527" s="7">
        <f t="shared" si="32"/>
        <v>1898.3999999999999</v>
      </c>
      <c r="J527" s="7">
        <f t="shared" si="33"/>
        <v>10757.6</v>
      </c>
      <c r="K527" s="12">
        <v>9040</v>
      </c>
      <c r="L527" s="12">
        <f t="shared" si="34"/>
        <v>1717.6000000000004</v>
      </c>
      <c r="M527" s="13">
        <v>41944</v>
      </c>
      <c r="N527" s="14"/>
      <c r="O527" s="12"/>
      <c r="P527" s="15"/>
    </row>
    <row r="528" spans="1:16" ht="15.75" customHeight="1" x14ac:dyDescent="0.3">
      <c r="A528" s="6" t="s">
        <v>25</v>
      </c>
      <c r="B528" s="6" t="s">
        <v>22</v>
      </c>
      <c r="C528" s="7" t="s">
        <v>31</v>
      </c>
      <c r="D528" s="7" t="s">
        <v>35</v>
      </c>
      <c r="E528" s="6">
        <v>1734</v>
      </c>
      <c r="F528" s="7">
        <v>250</v>
      </c>
      <c r="G528" s="7">
        <v>12</v>
      </c>
      <c r="H528" s="7">
        <f t="shared" si="35"/>
        <v>20808</v>
      </c>
      <c r="I528" s="7">
        <f t="shared" si="32"/>
        <v>3121.2</v>
      </c>
      <c r="J528" s="7">
        <f t="shared" si="33"/>
        <v>17686.8</v>
      </c>
      <c r="K528" s="7">
        <v>5202</v>
      </c>
      <c r="L528" s="12">
        <f t="shared" si="34"/>
        <v>12484.8</v>
      </c>
      <c r="M528" s="8">
        <v>41640</v>
      </c>
      <c r="N528" s="9"/>
      <c r="O528" s="7"/>
      <c r="P528" s="10"/>
    </row>
    <row r="529" spans="1:16" ht="15.75" customHeight="1" x14ac:dyDescent="0.3">
      <c r="A529" s="11" t="s">
        <v>26</v>
      </c>
      <c r="B529" s="11" t="s">
        <v>23</v>
      </c>
      <c r="C529" s="12" t="s">
        <v>31</v>
      </c>
      <c r="D529" s="12" t="s">
        <v>35</v>
      </c>
      <c r="E529" s="11">
        <v>554</v>
      </c>
      <c r="F529" s="12">
        <v>250</v>
      </c>
      <c r="G529" s="12">
        <v>125</v>
      </c>
      <c r="H529" s="7">
        <f t="shared" si="35"/>
        <v>69250</v>
      </c>
      <c r="I529" s="7">
        <f t="shared" si="32"/>
        <v>10387.5</v>
      </c>
      <c r="J529" s="7">
        <f t="shared" si="33"/>
        <v>58862.5</v>
      </c>
      <c r="K529" s="12">
        <v>66480</v>
      </c>
      <c r="L529" s="12">
        <f t="shared" si="34"/>
        <v>-7617.5</v>
      </c>
      <c r="M529" s="13">
        <v>41640</v>
      </c>
      <c r="N529" s="14"/>
      <c r="O529" s="12"/>
      <c r="P529" s="15"/>
    </row>
    <row r="530" spans="1:16" ht="15.75" customHeight="1" x14ac:dyDescent="0.3">
      <c r="A530" s="6" t="s">
        <v>16</v>
      </c>
      <c r="B530" s="6" t="s">
        <v>17</v>
      </c>
      <c r="C530" s="7" t="s">
        <v>31</v>
      </c>
      <c r="D530" s="7" t="s">
        <v>35</v>
      </c>
      <c r="E530" s="6">
        <v>2935</v>
      </c>
      <c r="F530" s="7">
        <v>250</v>
      </c>
      <c r="G530" s="7">
        <v>20</v>
      </c>
      <c r="H530" s="7">
        <f t="shared" si="35"/>
        <v>58700</v>
      </c>
      <c r="I530" s="7">
        <f t="shared" si="32"/>
        <v>8805</v>
      </c>
      <c r="J530" s="7">
        <f t="shared" si="33"/>
        <v>49895</v>
      </c>
      <c r="K530" s="7">
        <v>29350</v>
      </c>
      <c r="L530" s="12">
        <f t="shared" si="34"/>
        <v>20545</v>
      </c>
      <c r="M530" s="8">
        <v>41579</v>
      </c>
      <c r="N530" s="9"/>
      <c r="O530" s="7"/>
      <c r="P530" s="10"/>
    </row>
    <row r="531" spans="1:16" ht="15.75" customHeight="1" x14ac:dyDescent="0.3">
      <c r="A531" s="11" t="s">
        <v>26</v>
      </c>
      <c r="B531" s="11" t="s">
        <v>20</v>
      </c>
      <c r="C531" s="12" t="s">
        <v>32</v>
      </c>
      <c r="D531" s="12" t="s">
        <v>35</v>
      </c>
      <c r="E531" s="11">
        <v>3165</v>
      </c>
      <c r="F531" s="12">
        <v>260</v>
      </c>
      <c r="G531" s="12">
        <v>125</v>
      </c>
      <c r="H531" s="7">
        <f t="shared" si="35"/>
        <v>395625</v>
      </c>
      <c r="I531" s="7">
        <f t="shared" si="32"/>
        <v>59343.75</v>
      </c>
      <c r="J531" s="7">
        <f t="shared" si="33"/>
        <v>336281.25</v>
      </c>
      <c r="K531" s="12">
        <v>379800</v>
      </c>
      <c r="L531" s="12">
        <f t="shared" si="34"/>
        <v>-43518.75</v>
      </c>
      <c r="M531" s="13">
        <v>41640</v>
      </c>
      <c r="N531" s="14"/>
      <c r="O531" s="12"/>
      <c r="P531" s="15"/>
    </row>
    <row r="532" spans="1:16" ht="15.75" customHeight="1" x14ac:dyDescent="0.3">
      <c r="A532" s="6" t="s">
        <v>16</v>
      </c>
      <c r="B532" s="6" t="s">
        <v>23</v>
      </c>
      <c r="C532" s="7" t="s">
        <v>32</v>
      </c>
      <c r="D532" s="7" t="s">
        <v>35</v>
      </c>
      <c r="E532" s="6">
        <v>2629</v>
      </c>
      <c r="F532" s="7">
        <v>260</v>
      </c>
      <c r="G532" s="7">
        <v>20</v>
      </c>
      <c r="H532" s="7">
        <f t="shared" si="35"/>
        <v>52580</v>
      </c>
      <c r="I532" s="7">
        <f t="shared" si="32"/>
        <v>7887</v>
      </c>
      <c r="J532" s="7">
        <f t="shared" si="33"/>
        <v>44693</v>
      </c>
      <c r="K532" s="7">
        <v>26290</v>
      </c>
      <c r="L532" s="12">
        <f t="shared" si="34"/>
        <v>18403</v>
      </c>
      <c r="M532" s="8">
        <v>41640</v>
      </c>
      <c r="N532" s="9"/>
      <c r="O532" s="7"/>
      <c r="P532" s="10"/>
    </row>
    <row r="533" spans="1:16" ht="15.75" customHeight="1" x14ac:dyDescent="0.3">
      <c r="A533" s="11" t="s">
        <v>26</v>
      </c>
      <c r="B533" s="11" t="s">
        <v>22</v>
      </c>
      <c r="C533" s="12" t="s">
        <v>32</v>
      </c>
      <c r="D533" s="12" t="s">
        <v>35</v>
      </c>
      <c r="E533" s="11">
        <v>1433</v>
      </c>
      <c r="F533" s="12">
        <v>260</v>
      </c>
      <c r="G533" s="12">
        <v>125</v>
      </c>
      <c r="H533" s="7">
        <f t="shared" si="35"/>
        <v>179125</v>
      </c>
      <c r="I533" s="7">
        <f t="shared" si="32"/>
        <v>26868.75</v>
      </c>
      <c r="J533" s="7">
        <f t="shared" si="33"/>
        <v>152256.25</v>
      </c>
      <c r="K533" s="12">
        <v>171960</v>
      </c>
      <c r="L533" s="12">
        <f t="shared" si="34"/>
        <v>-19703.75</v>
      </c>
      <c r="M533" s="13">
        <v>41760</v>
      </c>
      <c r="N533" s="14"/>
      <c r="O533" s="12"/>
      <c r="P533" s="15"/>
    </row>
    <row r="534" spans="1:16" ht="15.75" customHeight="1" x14ac:dyDescent="0.3">
      <c r="A534" s="6" t="s">
        <v>26</v>
      </c>
      <c r="B534" s="6" t="s">
        <v>23</v>
      </c>
      <c r="C534" s="7" t="s">
        <v>32</v>
      </c>
      <c r="D534" s="7" t="s">
        <v>35</v>
      </c>
      <c r="E534" s="6">
        <v>947</v>
      </c>
      <c r="F534" s="7">
        <v>260</v>
      </c>
      <c r="G534" s="7">
        <v>125</v>
      </c>
      <c r="H534" s="7">
        <f t="shared" si="35"/>
        <v>118375</v>
      </c>
      <c r="I534" s="7">
        <f t="shared" si="32"/>
        <v>17756.25</v>
      </c>
      <c r="J534" s="7">
        <f t="shared" si="33"/>
        <v>100618.75</v>
      </c>
      <c r="K534" s="7">
        <v>113640</v>
      </c>
      <c r="L534" s="12">
        <f t="shared" si="34"/>
        <v>-13021.25</v>
      </c>
      <c r="M534" s="8">
        <v>41518</v>
      </c>
      <c r="N534" s="9"/>
      <c r="O534" s="7"/>
      <c r="P534" s="10"/>
    </row>
    <row r="535" spans="1:16" ht="15.75" customHeight="1" x14ac:dyDescent="0.3">
      <c r="A535" s="11" t="s">
        <v>16</v>
      </c>
      <c r="B535" s="11" t="s">
        <v>23</v>
      </c>
      <c r="C535" s="12" t="s">
        <v>32</v>
      </c>
      <c r="D535" s="12" t="s">
        <v>35</v>
      </c>
      <c r="E535" s="11">
        <v>344</v>
      </c>
      <c r="F535" s="12">
        <v>260</v>
      </c>
      <c r="G535" s="12">
        <v>350</v>
      </c>
      <c r="H535" s="7">
        <f t="shared" si="35"/>
        <v>120400</v>
      </c>
      <c r="I535" s="7">
        <f t="shared" si="32"/>
        <v>18060</v>
      </c>
      <c r="J535" s="7">
        <f t="shared" si="33"/>
        <v>102340</v>
      </c>
      <c r="K535" s="12">
        <v>89440</v>
      </c>
      <c r="L535" s="12">
        <f t="shared" si="34"/>
        <v>12900</v>
      </c>
      <c r="M535" s="13">
        <v>41548</v>
      </c>
      <c r="N535" s="14"/>
      <c r="O535" s="12"/>
      <c r="P535" s="15"/>
    </row>
    <row r="536" spans="1:16" ht="15.75" customHeight="1" x14ac:dyDescent="0.3">
      <c r="A536" s="6" t="s">
        <v>21</v>
      </c>
      <c r="B536" s="6" t="s">
        <v>23</v>
      </c>
      <c r="C536" s="7" t="s">
        <v>32</v>
      </c>
      <c r="D536" s="7" t="s">
        <v>35</v>
      </c>
      <c r="E536" s="6">
        <v>2157</v>
      </c>
      <c r="F536" s="7">
        <v>260</v>
      </c>
      <c r="G536" s="7">
        <v>15</v>
      </c>
      <c r="H536" s="7">
        <f t="shared" si="35"/>
        <v>32355</v>
      </c>
      <c r="I536" s="7">
        <f t="shared" si="32"/>
        <v>4853.25</v>
      </c>
      <c r="J536" s="7">
        <f t="shared" si="33"/>
        <v>27501.75</v>
      </c>
      <c r="K536" s="7">
        <v>21570</v>
      </c>
      <c r="L536" s="12">
        <f t="shared" si="34"/>
        <v>5931.75</v>
      </c>
      <c r="M536" s="8">
        <v>41974</v>
      </c>
      <c r="N536" s="9"/>
      <c r="O536" s="7"/>
      <c r="P536" s="10"/>
    </row>
    <row r="537" spans="1:16" ht="15.75" customHeight="1" x14ac:dyDescent="0.3">
      <c r="A537" s="11" t="s">
        <v>16</v>
      </c>
      <c r="B537" s="11" t="s">
        <v>28</v>
      </c>
      <c r="C537" s="12" t="s">
        <v>29</v>
      </c>
      <c r="D537" s="12" t="s">
        <v>35</v>
      </c>
      <c r="E537" s="11">
        <v>380</v>
      </c>
      <c r="F537" s="12">
        <v>10</v>
      </c>
      <c r="G537" s="12">
        <v>7</v>
      </c>
      <c r="H537" s="7">
        <f t="shared" si="35"/>
        <v>2660</v>
      </c>
      <c r="I537" s="7">
        <f t="shared" si="32"/>
        <v>399</v>
      </c>
      <c r="J537" s="7">
        <f t="shared" si="33"/>
        <v>2261</v>
      </c>
      <c r="K537" s="12">
        <v>1900</v>
      </c>
      <c r="L537" s="12">
        <f t="shared" si="34"/>
        <v>361</v>
      </c>
      <c r="M537" s="13">
        <v>41518</v>
      </c>
      <c r="N537" s="14"/>
      <c r="O537" s="12"/>
      <c r="P537" s="15"/>
    </row>
    <row r="538" spans="1:16" ht="15.75" customHeight="1" x14ac:dyDescent="0.3">
      <c r="A538" s="6" t="s">
        <v>16</v>
      </c>
      <c r="B538" s="6" t="s">
        <v>23</v>
      </c>
      <c r="C538" s="7" t="s">
        <v>18</v>
      </c>
      <c r="D538" s="7" t="s">
        <v>35</v>
      </c>
      <c r="E538" s="6">
        <v>886</v>
      </c>
      <c r="F538" s="7">
        <v>3</v>
      </c>
      <c r="G538" s="7">
        <v>350</v>
      </c>
      <c r="H538" s="7">
        <f t="shared" si="35"/>
        <v>310100</v>
      </c>
      <c r="I538" s="7">
        <f t="shared" si="32"/>
        <v>46515</v>
      </c>
      <c r="J538" s="7">
        <f t="shared" si="33"/>
        <v>263585</v>
      </c>
      <c r="K538" s="7">
        <v>230360</v>
      </c>
      <c r="L538" s="12">
        <f t="shared" si="34"/>
        <v>33225</v>
      </c>
      <c r="M538" s="8">
        <v>41791</v>
      </c>
      <c r="N538" s="9"/>
      <c r="O538" s="7"/>
      <c r="P538" s="10"/>
    </row>
    <row r="539" spans="1:16" ht="15.75" customHeight="1" x14ac:dyDescent="0.3">
      <c r="A539" s="11" t="s">
        <v>26</v>
      </c>
      <c r="B539" s="11" t="s">
        <v>17</v>
      </c>
      <c r="C539" s="12" t="s">
        <v>18</v>
      </c>
      <c r="D539" s="12" t="s">
        <v>35</v>
      </c>
      <c r="E539" s="11">
        <v>2416</v>
      </c>
      <c r="F539" s="12">
        <v>3</v>
      </c>
      <c r="G539" s="12">
        <v>125</v>
      </c>
      <c r="H539" s="7">
        <f t="shared" si="35"/>
        <v>302000</v>
      </c>
      <c r="I539" s="7">
        <f t="shared" si="32"/>
        <v>45300</v>
      </c>
      <c r="J539" s="7">
        <f t="shared" si="33"/>
        <v>256700</v>
      </c>
      <c r="K539" s="12">
        <v>289920</v>
      </c>
      <c r="L539" s="12">
        <f t="shared" si="34"/>
        <v>-33220</v>
      </c>
      <c r="M539" s="13">
        <v>41518</v>
      </c>
      <c r="N539" s="14"/>
      <c r="O539" s="12"/>
      <c r="P539" s="15"/>
    </row>
    <row r="540" spans="1:16" ht="15.75" customHeight="1" x14ac:dyDescent="0.3">
      <c r="A540" s="6" t="s">
        <v>26</v>
      </c>
      <c r="B540" s="6" t="s">
        <v>23</v>
      </c>
      <c r="C540" s="7" t="s">
        <v>18</v>
      </c>
      <c r="D540" s="7" t="s">
        <v>35</v>
      </c>
      <c r="E540" s="6">
        <v>2156</v>
      </c>
      <c r="F540" s="7">
        <v>3</v>
      </c>
      <c r="G540" s="7">
        <v>125</v>
      </c>
      <c r="H540" s="7">
        <f t="shared" si="35"/>
        <v>269500</v>
      </c>
      <c r="I540" s="7">
        <f t="shared" si="32"/>
        <v>40425</v>
      </c>
      <c r="J540" s="7">
        <f t="shared" si="33"/>
        <v>229075</v>
      </c>
      <c r="K540" s="7">
        <v>258720</v>
      </c>
      <c r="L540" s="12">
        <f t="shared" si="34"/>
        <v>-29645</v>
      </c>
      <c r="M540" s="8">
        <v>41913</v>
      </c>
      <c r="N540" s="9"/>
      <c r="O540" s="7"/>
      <c r="P540" s="10"/>
    </row>
    <row r="541" spans="1:16" ht="15.75" customHeight="1" x14ac:dyDescent="0.3">
      <c r="A541" s="11" t="s">
        <v>21</v>
      </c>
      <c r="B541" s="11" t="s">
        <v>17</v>
      </c>
      <c r="C541" s="12" t="s">
        <v>18</v>
      </c>
      <c r="D541" s="12" t="s">
        <v>35</v>
      </c>
      <c r="E541" s="11">
        <v>2689</v>
      </c>
      <c r="F541" s="12">
        <v>3</v>
      </c>
      <c r="G541" s="12">
        <v>15</v>
      </c>
      <c r="H541" s="7">
        <f t="shared" si="35"/>
        <v>40335</v>
      </c>
      <c r="I541" s="7">
        <f t="shared" si="32"/>
        <v>6050.25</v>
      </c>
      <c r="J541" s="7">
        <f t="shared" si="33"/>
        <v>34284.75</v>
      </c>
      <c r="K541" s="12">
        <v>26890</v>
      </c>
      <c r="L541" s="12">
        <f t="shared" si="34"/>
        <v>7394.75</v>
      </c>
      <c r="M541" s="13">
        <v>41944</v>
      </c>
      <c r="N541" s="14"/>
      <c r="O541" s="12"/>
      <c r="P541" s="15"/>
    </row>
    <row r="542" spans="1:16" ht="15.75" customHeight="1" x14ac:dyDescent="0.3">
      <c r="A542" s="6" t="s">
        <v>21</v>
      </c>
      <c r="B542" s="6" t="s">
        <v>28</v>
      </c>
      <c r="C542" s="7" t="s">
        <v>24</v>
      </c>
      <c r="D542" s="7" t="s">
        <v>35</v>
      </c>
      <c r="E542" s="6">
        <v>677</v>
      </c>
      <c r="F542" s="7">
        <v>5</v>
      </c>
      <c r="G542" s="7">
        <v>15</v>
      </c>
      <c r="H542" s="7">
        <f t="shared" si="35"/>
        <v>10155</v>
      </c>
      <c r="I542" s="7">
        <f t="shared" si="32"/>
        <v>1523.25</v>
      </c>
      <c r="J542" s="7">
        <f t="shared" si="33"/>
        <v>8631.75</v>
      </c>
      <c r="K542" s="7">
        <v>6770</v>
      </c>
      <c r="L542" s="12">
        <f t="shared" si="34"/>
        <v>1861.75</v>
      </c>
      <c r="M542" s="8">
        <v>41699</v>
      </c>
      <c r="N542" s="9"/>
      <c r="O542" s="7"/>
      <c r="P542" s="10"/>
    </row>
    <row r="543" spans="1:16" ht="15.75" customHeight="1" x14ac:dyDescent="0.3">
      <c r="A543" s="11" t="s">
        <v>27</v>
      </c>
      <c r="B543" s="11" t="s">
        <v>22</v>
      </c>
      <c r="C543" s="12" t="s">
        <v>24</v>
      </c>
      <c r="D543" s="12" t="s">
        <v>35</v>
      </c>
      <c r="E543" s="11">
        <v>1773</v>
      </c>
      <c r="F543" s="12">
        <v>5</v>
      </c>
      <c r="G543" s="12">
        <v>300</v>
      </c>
      <c r="H543" s="7">
        <f t="shared" si="35"/>
        <v>531900</v>
      </c>
      <c r="I543" s="7">
        <f t="shared" si="32"/>
        <v>79785</v>
      </c>
      <c r="J543" s="7">
        <f t="shared" si="33"/>
        <v>452115</v>
      </c>
      <c r="K543" s="12">
        <v>443250</v>
      </c>
      <c r="L543" s="12">
        <f t="shared" si="34"/>
        <v>8865</v>
      </c>
      <c r="M543" s="13">
        <v>41730</v>
      </c>
      <c r="N543" s="14"/>
      <c r="O543" s="12"/>
      <c r="P543" s="15"/>
    </row>
    <row r="544" spans="1:16" ht="15.75" customHeight="1" x14ac:dyDescent="0.3">
      <c r="A544" s="6" t="s">
        <v>16</v>
      </c>
      <c r="B544" s="6" t="s">
        <v>23</v>
      </c>
      <c r="C544" s="7" t="s">
        <v>24</v>
      </c>
      <c r="D544" s="7" t="s">
        <v>35</v>
      </c>
      <c r="E544" s="6">
        <v>2420</v>
      </c>
      <c r="F544" s="7">
        <v>5</v>
      </c>
      <c r="G544" s="7">
        <v>7</v>
      </c>
      <c r="H544" s="7">
        <f t="shared" si="35"/>
        <v>16940</v>
      </c>
      <c r="I544" s="7">
        <f t="shared" si="32"/>
        <v>2541</v>
      </c>
      <c r="J544" s="7">
        <f t="shared" si="33"/>
        <v>14399</v>
      </c>
      <c r="K544" s="7">
        <v>12100</v>
      </c>
      <c r="L544" s="12">
        <f t="shared" si="34"/>
        <v>2299</v>
      </c>
      <c r="M544" s="8">
        <v>41883</v>
      </c>
      <c r="N544" s="9"/>
      <c r="O544" s="7"/>
      <c r="P544" s="10"/>
    </row>
    <row r="545" spans="1:16" ht="15.75" customHeight="1" x14ac:dyDescent="0.3">
      <c r="A545" s="11" t="s">
        <v>16</v>
      </c>
      <c r="B545" s="11" t="s">
        <v>17</v>
      </c>
      <c r="C545" s="12" t="s">
        <v>24</v>
      </c>
      <c r="D545" s="12" t="s">
        <v>35</v>
      </c>
      <c r="E545" s="11">
        <v>2734</v>
      </c>
      <c r="F545" s="12">
        <v>5</v>
      </c>
      <c r="G545" s="12">
        <v>7</v>
      </c>
      <c r="H545" s="7">
        <f t="shared" si="35"/>
        <v>19138</v>
      </c>
      <c r="I545" s="7">
        <f t="shared" si="32"/>
        <v>2870.7</v>
      </c>
      <c r="J545" s="7">
        <f t="shared" si="33"/>
        <v>16267.3</v>
      </c>
      <c r="K545" s="12">
        <v>13670</v>
      </c>
      <c r="L545" s="12">
        <f t="shared" si="34"/>
        <v>2597.2999999999993</v>
      </c>
      <c r="M545" s="13">
        <v>41913</v>
      </c>
      <c r="N545" s="14"/>
      <c r="O545" s="12"/>
      <c r="P545" s="15"/>
    </row>
    <row r="546" spans="1:16" ht="15.75" customHeight="1" x14ac:dyDescent="0.3">
      <c r="A546" s="6" t="s">
        <v>16</v>
      </c>
      <c r="B546" s="6" t="s">
        <v>23</v>
      </c>
      <c r="C546" s="7" t="s">
        <v>24</v>
      </c>
      <c r="D546" s="7" t="s">
        <v>35</v>
      </c>
      <c r="E546" s="6">
        <v>1715</v>
      </c>
      <c r="F546" s="7">
        <v>5</v>
      </c>
      <c r="G546" s="7">
        <v>20</v>
      </c>
      <c r="H546" s="7">
        <f t="shared" si="35"/>
        <v>34300</v>
      </c>
      <c r="I546" s="7">
        <f t="shared" si="32"/>
        <v>5145</v>
      </c>
      <c r="J546" s="7">
        <f t="shared" si="33"/>
        <v>29155</v>
      </c>
      <c r="K546" s="7">
        <v>17150</v>
      </c>
      <c r="L546" s="12">
        <f t="shared" si="34"/>
        <v>12005</v>
      </c>
      <c r="M546" s="8">
        <v>41548</v>
      </c>
      <c r="N546" s="9"/>
      <c r="O546" s="7"/>
      <c r="P546" s="10"/>
    </row>
    <row r="547" spans="1:16" ht="15.75" customHeight="1" x14ac:dyDescent="0.3">
      <c r="A547" s="11" t="s">
        <v>27</v>
      </c>
      <c r="B547" s="11" t="s">
        <v>22</v>
      </c>
      <c r="C547" s="12" t="s">
        <v>24</v>
      </c>
      <c r="D547" s="12" t="s">
        <v>35</v>
      </c>
      <c r="E547" s="11">
        <v>1186</v>
      </c>
      <c r="F547" s="12">
        <v>5</v>
      </c>
      <c r="G547" s="12">
        <v>300</v>
      </c>
      <c r="H547" s="7">
        <f t="shared" si="35"/>
        <v>355800</v>
      </c>
      <c r="I547" s="7">
        <f t="shared" si="32"/>
        <v>53370</v>
      </c>
      <c r="J547" s="7">
        <f t="shared" si="33"/>
        <v>302430</v>
      </c>
      <c r="K547" s="12">
        <v>296500</v>
      </c>
      <c r="L547" s="12">
        <f t="shared" si="34"/>
        <v>5930</v>
      </c>
      <c r="M547" s="13">
        <v>41609</v>
      </c>
      <c r="N547" s="14"/>
      <c r="O547" s="12"/>
      <c r="P547" s="15"/>
    </row>
    <row r="548" spans="1:16" ht="15.75" customHeight="1" x14ac:dyDescent="0.3">
      <c r="A548" s="6" t="s">
        <v>27</v>
      </c>
      <c r="B548" s="6" t="s">
        <v>28</v>
      </c>
      <c r="C548" s="7" t="s">
        <v>29</v>
      </c>
      <c r="D548" s="7" t="s">
        <v>35</v>
      </c>
      <c r="E548" s="6">
        <v>3495</v>
      </c>
      <c r="F548" s="7">
        <v>10</v>
      </c>
      <c r="G548" s="7">
        <v>300</v>
      </c>
      <c r="H548" s="7">
        <f t="shared" si="35"/>
        <v>1048500</v>
      </c>
      <c r="I548" s="7">
        <f t="shared" si="32"/>
        <v>157275</v>
      </c>
      <c r="J548" s="7">
        <f t="shared" si="33"/>
        <v>891225</v>
      </c>
      <c r="K548" s="7">
        <v>873750</v>
      </c>
      <c r="L548" s="12">
        <f t="shared" si="34"/>
        <v>17475</v>
      </c>
      <c r="M548" s="8">
        <v>41640</v>
      </c>
      <c r="N548" s="9"/>
      <c r="O548" s="7"/>
      <c r="P548" s="10"/>
    </row>
    <row r="549" spans="1:16" ht="15.75" customHeight="1" x14ac:dyDescent="0.3">
      <c r="A549" s="11" t="s">
        <v>16</v>
      </c>
      <c r="B549" s="11" t="s">
        <v>23</v>
      </c>
      <c r="C549" s="12" t="s">
        <v>29</v>
      </c>
      <c r="D549" s="12" t="s">
        <v>35</v>
      </c>
      <c r="E549" s="11">
        <v>886</v>
      </c>
      <c r="F549" s="12">
        <v>10</v>
      </c>
      <c r="G549" s="12">
        <v>350</v>
      </c>
      <c r="H549" s="7">
        <f t="shared" si="35"/>
        <v>310100</v>
      </c>
      <c r="I549" s="7">
        <f t="shared" si="32"/>
        <v>46515</v>
      </c>
      <c r="J549" s="7">
        <f t="shared" si="33"/>
        <v>263585</v>
      </c>
      <c r="K549" s="12">
        <v>230360</v>
      </c>
      <c r="L549" s="12">
        <f t="shared" si="34"/>
        <v>33225</v>
      </c>
      <c r="M549" s="13">
        <v>41791</v>
      </c>
      <c r="N549" s="14"/>
      <c r="O549" s="12"/>
      <c r="P549" s="15"/>
    </row>
    <row r="550" spans="1:16" ht="15.75" customHeight="1" x14ac:dyDescent="0.3">
      <c r="A550" s="6" t="s">
        <v>26</v>
      </c>
      <c r="B550" s="6" t="s">
        <v>23</v>
      </c>
      <c r="C550" s="7" t="s">
        <v>29</v>
      </c>
      <c r="D550" s="7" t="s">
        <v>35</v>
      </c>
      <c r="E550" s="6">
        <v>2156</v>
      </c>
      <c r="F550" s="7">
        <v>10</v>
      </c>
      <c r="G550" s="7">
        <v>125</v>
      </c>
      <c r="H550" s="7">
        <f t="shared" si="35"/>
        <v>269500</v>
      </c>
      <c r="I550" s="7">
        <f t="shared" si="32"/>
        <v>40425</v>
      </c>
      <c r="J550" s="7">
        <f t="shared" si="33"/>
        <v>229075</v>
      </c>
      <c r="K550" s="7">
        <v>258720</v>
      </c>
      <c r="L550" s="12">
        <f t="shared" si="34"/>
        <v>-29645</v>
      </c>
      <c r="M550" s="8">
        <v>41913</v>
      </c>
      <c r="N550" s="9"/>
      <c r="O550" s="7"/>
      <c r="P550" s="10"/>
    </row>
    <row r="551" spans="1:16" ht="15.75" customHeight="1" x14ac:dyDescent="0.3">
      <c r="A551" s="11" t="s">
        <v>16</v>
      </c>
      <c r="B551" s="11" t="s">
        <v>23</v>
      </c>
      <c r="C551" s="12" t="s">
        <v>29</v>
      </c>
      <c r="D551" s="12" t="s">
        <v>35</v>
      </c>
      <c r="E551" s="11">
        <v>905</v>
      </c>
      <c r="F551" s="12">
        <v>10</v>
      </c>
      <c r="G551" s="12">
        <v>20</v>
      </c>
      <c r="H551" s="7">
        <f t="shared" si="35"/>
        <v>18100</v>
      </c>
      <c r="I551" s="7">
        <f t="shared" si="32"/>
        <v>2715</v>
      </c>
      <c r="J551" s="7">
        <f t="shared" si="33"/>
        <v>15385</v>
      </c>
      <c r="K551" s="12">
        <v>9050</v>
      </c>
      <c r="L551" s="12">
        <f t="shared" si="34"/>
        <v>6335</v>
      </c>
      <c r="M551" s="13">
        <v>41913</v>
      </c>
      <c r="N551" s="14"/>
      <c r="O551" s="12"/>
      <c r="P551" s="15"/>
    </row>
    <row r="552" spans="1:16" ht="15.75" customHeight="1" x14ac:dyDescent="0.3">
      <c r="A552" s="6" t="s">
        <v>16</v>
      </c>
      <c r="B552" s="6" t="s">
        <v>23</v>
      </c>
      <c r="C552" s="7" t="s">
        <v>29</v>
      </c>
      <c r="D552" s="7" t="s">
        <v>35</v>
      </c>
      <c r="E552" s="6">
        <v>1715</v>
      </c>
      <c r="F552" s="7">
        <v>10</v>
      </c>
      <c r="G552" s="7">
        <v>20</v>
      </c>
      <c r="H552" s="7">
        <f t="shared" si="35"/>
        <v>34300</v>
      </c>
      <c r="I552" s="7">
        <f t="shared" si="32"/>
        <v>5145</v>
      </c>
      <c r="J552" s="7">
        <f t="shared" si="33"/>
        <v>29155</v>
      </c>
      <c r="K552" s="7">
        <v>17150</v>
      </c>
      <c r="L552" s="12">
        <f t="shared" si="34"/>
        <v>12005</v>
      </c>
      <c r="M552" s="8">
        <v>41548</v>
      </c>
      <c r="N552" s="9"/>
      <c r="O552" s="7"/>
      <c r="P552" s="10"/>
    </row>
    <row r="553" spans="1:16" ht="15.75" customHeight="1" x14ac:dyDescent="0.3">
      <c r="A553" s="11" t="s">
        <v>16</v>
      </c>
      <c r="B553" s="11" t="s">
        <v>22</v>
      </c>
      <c r="C553" s="12" t="s">
        <v>29</v>
      </c>
      <c r="D553" s="12" t="s">
        <v>35</v>
      </c>
      <c r="E553" s="11">
        <v>1594</v>
      </c>
      <c r="F553" s="12">
        <v>10</v>
      </c>
      <c r="G553" s="12">
        <v>350</v>
      </c>
      <c r="H553" s="7">
        <f t="shared" si="35"/>
        <v>557900</v>
      </c>
      <c r="I553" s="7">
        <f t="shared" si="32"/>
        <v>83685</v>
      </c>
      <c r="J553" s="7">
        <f t="shared" si="33"/>
        <v>474215</v>
      </c>
      <c r="K553" s="12">
        <v>414440</v>
      </c>
      <c r="L553" s="12">
        <f t="shared" si="34"/>
        <v>59775</v>
      </c>
      <c r="M553" s="13">
        <v>41944</v>
      </c>
      <c r="N553" s="14"/>
      <c r="O553" s="12"/>
      <c r="P553" s="15"/>
    </row>
    <row r="554" spans="1:16" ht="15.75" customHeight="1" x14ac:dyDescent="0.3">
      <c r="A554" s="6" t="s">
        <v>27</v>
      </c>
      <c r="B554" s="6" t="s">
        <v>20</v>
      </c>
      <c r="C554" s="7" t="s">
        <v>29</v>
      </c>
      <c r="D554" s="7" t="s">
        <v>35</v>
      </c>
      <c r="E554" s="6">
        <v>1359</v>
      </c>
      <c r="F554" s="7">
        <v>10</v>
      </c>
      <c r="G554" s="7">
        <v>300</v>
      </c>
      <c r="H554" s="7">
        <f t="shared" si="35"/>
        <v>407700</v>
      </c>
      <c r="I554" s="7">
        <f t="shared" si="32"/>
        <v>61155</v>
      </c>
      <c r="J554" s="7">
        <f t="shared" si="33"/>
        <v>346545</v>
      </c>
      <c r="K554" s="7">
        <v>339750</v>
      </c>
      <c r="L554" s="12">
        <f t="shared" si="34"/>
        <v>6795</v>
      </c>
      <c r="M554" s="8">
        <v>41944</v>
      </c>
      <c r="N554" s="9"/>
      <c r="O554" s="7"/>
      <c r="P554" s="10"/>
    </row>
    <row r="555" spans="1:16" ht="15.75" customHeight="1" x14ac:dyDescent="0.3">
      <c r="A555" s="11" t="s">
        <v>27</v>
      </c>
      <c r="B555" s="11" t="s">
        <v>23</v>
      </c>
      <c r="C555" s="12" t="s">
        <v>29</v>
      </c>
      <c r="D555" s="12" t="s">
        <v>35</v>
      </c>
      <c r="E555" s="11">
        <v>2150</v>
      </c>
      <c r="F555" s="12">
        <v>10</v>
      </c>
      <c r="G555" s="12">
        <v>300</v>
      </c>
      <c r="H555" s="7">
        <f t="shared" si="35"/>
        <v>645000</v>
      </c>
      <c r="I555" s="7">
        <f t="shared" si="32"/>
        <v>96750</v>
      </c>
      <c r="J555" s="7">
        <f t="shared" si="33"/>
        <v>548250</v>
      </c>
      <c r="K555" s="12">
        <v>537500</v>
      </c>
      <c r="L555" s="12">
        <f t="shared" si="34"/>
        <v>10750</v>
      </c>
      <c r="M555" s="13">
        <v>41944</v>
      </c>
      <c r="N555" s="14"/>
      <c r="O555" s="12"/>
      <c r="P555" s="15"/>
    </row>
    <row r="556" spans="1:16" ht="15.75" customHeight="1" x14ac:dyDescent="0.3">
      <c r="A556" s="6" t="s">
        <v>16</v>
      </c>
      <c r="B556" s="6" t="s">
        <v>23</v>
      </c>
      <c r="C556" s="7" t="s">
        <v>29</v>
      </c>
      <c r="D556" s="7" t="s">
        <v>35</v>
      </c>
      <c r="E556" s="6">
        <v>1197</v>
      </c>
      <c r="F556" s="7">
        <v>10</v>
      </c>
      <c r="G556" s="7">
        <v>350</v>
      </c>
      <c r="H556" s="7">
        <f t="shared" si="35"/>
        <v>418950</v>
      </c>
      <c r="I556" s="7">
        <f t="shared" si="32"/>
        <v>62842.5</v>
      </c>
      <c r="J556" s="7">
        <f t="shared" si="33"/>
        <v>356107.5</v>
      </c>
      <c r="K556" s="7">
        <v>311220</v>
      </c>
      <c r="L556" s="12">
        <f t="shared" si="34"/>
        <v>44887.5</v>
      </c>
      <c r="M556" s="8">
        <v>41944</v>
      </c>
      <c r="N556" s="9"/>
      <c r="O556" s="7"/>
      <c r="P556" s="10"/>
    </row>
    <row r="557" spans="1:16" ht="15.75" customHeight="1" x14ac:dyDescent="0.3">
      <c r="A557" s="11" t="s">
        <v>21</v>
      </c>
      <c r="B557" s="11" t="s">
        <v>23</v>
      </c>
      <c r="C557" s="12" t="s">
        <v>29</v>
      </c>
      <c r="D557" s="12" t="s">
        <v>35</v>
      </c>
      <c r="E557" s="11">
        <v>380</v>
      </c>
      <c r="F557" s="12">
        <v>10</v>
      </c>
      <c r="G557" s="12">
        <v>15</v>
      </c>
      <c r="H557" s="7">
        <f t="shared" si="35"/>
        <v>5700</v>
      </c>
      <c r="I557" s="7">
        <f t="shared" si="32"/>
        <v>855</v>
      </c>
      <c r="J557" s="7">
        <f t="shared" si="33"/>
        <v>4845</v>
      </c>
      <c r="K557" s="12">
        <v>3800</v>
      </c>
      <c r="L557" s="12">
        <f t="shared" si="34"/>
        <v>1045</v>
      </c>
      <c r="M557" s="13">
        <v>41609</v>
      </c>
      <c r="N557" s="14"/>
      <c r="O557" s="12"/>
      <c r="P557" s="15"/>
    </row>
    <row r="558" spans="1:16" ht="15.75" customHeight="1" x14ac:dyDescent="0.3">
      <c r="A558" s="6" t="s">
        <v>16</v>
      </c>
      <c r="B558" s="6" t="s">
        <v>23</v>
      </c>
      <c r="C558" s="7" t="s">
        <v>29</v>
      </c>
      <c r="D558" s="7" t="s">
        <v>35</v>
      </c>
      <c r="E558" s="6">
        <v>1233</v>
      </c>
      <c r="F558" s="7">
        <v>10</v>
      </c>
      <c r="G558" s="7">
        <v>20</v>
      </c>
      <c r="H558" s="7">
        <f t="shared" si="35"/>
        <v>24660</v>
      </c>
      <c r="I558" s="7">
        <f t="shared" si="32"/>
        <v>3699</v>
      </c>
      <c r="J558" s="7">
        <f t="shared" si="33"/>
        <v>20961</v>
      </c>
      <c r="K558" s="7">
        <v>12330</v>
      </c>
      <c r="L558" s="12">
        <f t="shared" si="34"/>
        <v>8631</v>
      </c>
      <c r="M558" s="8">
        <v>41974</v>
      </c>
      <c r="N558" s="9"/>
      <c r="O558" s="7"/>
      <c r="P558" s="10"/>
    </row>
    <row r="559" spans="1:16" ht="15.75" customHeight="1" x14ac:dyDescent="0.3">
      <c r="A559" s="11" t="s">
        <v>16</v>
      </c>
      <c r="B559" s="11" t="s">
        <v>23</v>
      </c>
      <c r="C559" s="12" t="s">
        <v>30</v>
      </c>
      <c r="D559" s="12" t="s">
        <v>35</v>
      </c>
      <c r="E559" s="11">
        <v>1395</v>
      </c>
      <c r="F559" s="12">
        <v>120</v>
      </c>
      <c r="G559" s="12">
        <v>350</v>
      </c>
      <c r="H559" s="7">
        <f t="shared" si="35"/>
        <v>488250</v>
      </c>
      <c r="I559" s="7">
        <f t="shared" si="32"/>
        <v>73237.5</v>
      </c>
      <c r="J559" s="7">
        <f t="shared" si="33"/>
        <v>415012.5</v>
      </c>
      <c r="K559" s="12">
        <v>362700</v>
      </c>
      <c r="L559" s="12">
        <f t="shared" si="34"/>
        <v>52312.5</v>
      </c>
      <c r="M559" s="13">
        <v>41821</v>
      </c>
      <c r="N559" s="14"/>
      <c r="O559" s="12"/>
      <c r="P559" s="15"/>
    </row>
    <row r="560" spans="1:16" ht="15.75" customHeight="1" x14ac:dyDescent="0.3">
      <c r="A560" s="6" t="s">
        <v>16</v>
      </c>
      <c r="B560" s="6" t="s">
        <v>28</v>
      </c>
      <c r="C560" s="7" t="s">
        <v>30</v>
      </c>
      <c r="D560" s="7" t="s">
        <v>35</v>
      </c>
      <c r="E560" s="6">
        <v>986</v>
      </c>
      <c r="F560" s="7">
        <v>120</v>
      </c>
      <c r="G560" s="7">
        <v>350</v>
      </c>
      <c r="H560" s="7">
        <f t="shared" si="35"/>
        <v>345100</v>
      </c>
      <c r="I560" s="7">
        <f t="shared" si="32"/>
        <v>51765</v>
      </c>
      <c r="J560" s="7">
        <f t="shared" si="33"/>
        <v>293335</v>
      </c>
      <c r="K560" s="7">
        <v>256360</v>
      </c>
      <c r="L560" s="12">
        <f t="shared" si="34"/>
        <v>36975</v>
      </c>
      <c r="M560" s="8">
        <v>41913</v>
      </c>
      <c r="N560" s="9"/>
      <c r="O560" s="7"/>
      <c r="P560" s="10"/>
    </row>
    <row r="561" spans="1:16" ht="15.75" customHeight="1" x14ac:dyDescent="0.3">
      <c r="A561" s="11" t="s">
        <v>16</v>
      </c>
      <c r="B561" s="11" t="s">
        <v>23</v>
      </c>
      <c r="C561" s="12" t="s">
        <v>30</v>
      </c>
      <c r="D561" s="12" t="s">
        <v>35</v>
      </c>
      <c r="E561" s="11">
        <v>905</v>
      </c>
      <c r="F561" s="12">
        <v>120</v>
      </c>
      <c r="G561" s="12">
        <v>20</v>
      </c>
      <c r="H561" s="7">
        <f t="shared" si="35"/>
        <v>18100</v>
      </c>
      <c r="I561" s="7">
        <f t="shared" si="32"/>
        <v>2715</v>
      </c>
      <c r="J561" s="7">
        <f t="shared" si="33"/>
        <v>15385</v>
      </c>
      <c r="K561" s="12">
        <v>9050</v>
      </c>
      <c r="L561" s="12">
        <f t="shared" si="34"/>
        <v>6335</v>
      </c>
      <c r="M561" s="13">
        <v>41913</v>
      </c>
      <c r="N561" s="14"/>
      <c r="O561" s="12"/>
      <c r="P561" s="15"/>
    </row>
    <row r="562" spans="1:16" ht="15.75" customHeight="1" x14ac:dyDescent="0.3">
      <c r="A562" s="6" t="s">
        <v>25</v>
      </c>
      <c r="B562" s="6" t="s">
        <v>17</v>
      </c>
      <c r="C562" s="7" t="s">
        <v>31</v>
      </c>
      <c r="D562" s="7" t="s">
        <v>35</v>
      </c>
      <c r="E562" s="6">
        <v>2109</v>
      </c>
      <c r="F562" s="7">
        <v>250</v>
      </c>
      <c r="G562" s="7">
        <v>12</v>
      </c>
      <c r="H562" s="7">
        <f t="shared" si="35"/>
        <v>25308</v>
      </c>
      <c r="I562" s="7">
        <f t="shared" si="32"/>
        <v>3796.2</v>
      </c>
      <c r="J562" s="7">
        <f t="shared" si="33"/>
        <v>21511.8</v>
      </c>
      <c r="K562" s="7">
        <v>6327</v>
      </c>
      <c r="L562" s="12">
        <f t="shared" si="34"/>
        <v>15184.8</v>
      </c>
      <c r="M562" s="8">
        <v>41760</v>
      </c>
      <c r="N562" s="9"/>
      <c r="O562" s="7"/>
      <c r="P562" s="10"/>
    </row>
    <row r="563" spans="1:16" ht="15.75" customHeight="1" x14ac:dyDescent="0.3">
      <c r="A563" s="11" t="s">
        <v>21</v>
      </c>
      <c r="B563" s="11" t="s">
        <v>22</v>
      </c>
      <c r="C563" s="12" t="s">
        <v>31</v>
      </c>
      <c r="D563" s="12" t="s">
        <v>35</v>
      </c>
      <c r="E563" s="11">
        <v>3874.5</v>
      </c>
      <c r="F563" s="12">
        <v>250</v>
      </c>
      <c r="G563" s="12">
        <v>15</v>
      </c>
      <c r="H563" s="7">
        <f t="shared" si="35"/>
        <v>58117.5</v>
      </c>
      <c r="I563" s="7">
        <f t="shared" si="32"/>
        <v>8717.625</v>
      </c>
      <c r="J563" s="7">
        <f t="shared" si="33"/>
        <v>49399.875</v>
      </c>
      <c r="K563" s="12">
        <v>38745</v>
      </c>
      <c r="L563" s="12">
        <f t="shared" si="34"/>
        <v>10654.875</v>
      </c>
      <c r="M563" s="13">
        <v>41821</v>
      </c>
      <c r="N563" s="14"/>
      <c r="O563" s="12"/>
      <c r="P563" s="15"/>
    </row>
    <row r="564" spans="1:16" ht="15.75" customHeight="1" x14ac:dyDescent="0.3">
      <c r="A564" s="6" t="s">
        <v>16</v>
      </c>
      <c r="B564" s="6" t="s">
        <v>17</v>
      </c>
      <c r="C564" s="7" t="s">
        <v>31</v>
      </c>
      <c r="D564" s="7" t="s">
        <v>35</v>
      </c>
      <c r="E564" s="6">
        <v>623</v>
      </c>
      <c r="F564" s="7">
        <v>250</v>
      </c>
      <c r="G564" s="7">
        <v>350</v>
      </c>
      <c r="H564" s="7">
        <f t="shared" si="35"/>
        <v>218050</v>
      </c>
      <c r="I564" s="7">
        <f t="shared" si="32"/>
        <v>32707.5</v>
      </c>
      <c r="J564" s="7">
        <f t="shared" si="33"/>
        <v>185342.5</v>
      </c>
      <c r="K564" s="7">
        <v>161980</v>
      </c>
      <c r="L564" s="12">
        <f t="shared" si="34"/>
        <v>23362.5</v>
      </c>
      <c r="M564" s="8">
        <v>41518</v>
      </c>
      <c r="N564" s="9"/>
      <c r="O564" s="7"/>
      <c r="P564" s="10"/>
    </row>
    <row r="565" spans="1:16" ht="15.75" customHeight="1" x14ac:dyDescent="0.3">
      <c r="A565" s="11" t="s">
        <v>16</v>
      </c>
      <c r="B565" s="11" t="s">
        <v>28</v>
      </c>
      <c r="C565" s="12" t="s">
        <v>31</v>
      </c>
      <c r="D565" s="12" t="s">
        <v>35</v>
      </c>
      <c r="E565" s="11">
        <v>986</v>
      </c>
      <c r="F565" s="12">
        <v>250</v>
      </c>
      <c r="G565" s="12">
        <v>350</v>
      </c>
      <c r="H565" s="7">
        <f t="shared" si="35"/>
        <v>345100</v>
      </c>
      <c r="I565" s="7">
        <f t="shared" si="32"/>
        <v>51765</v>
      </c>
      <c r="J565" s="7">
        <f t="shared" si="33"/>
        <v>293335</v>
      </c>
      <c r="K565" s="12">
        <v>256360</v>
      </c>
      <c r="L565" s="12">
        <f t="shared" si="34"/>
        <v>36975</v>
      </c>
      <c r="M565" s="13">
        <v>41913</v>
      </c>
      <c r="N565" s="14"/>
      <c r="O565" s="12"/>
      <c r="P565" s="15"/>
    </row>
    <row r="566" spans="1:16" ht="15.75" customHeight="1" x14ac:dyDescent="0.3">
      <c r="A566" s="6" t="s">
        <v>26</v>
      </c>
      <c r="B566" s="6" t="s">
        <v>28</v>
      </c>
      <c r="C566" s="7" t="s">
        <v>31</v>
      </c>
      <c r="D566" s="7" t="s">
        <v>35</v>
      </c>
      <c r="E566" s="6">
        <v>2387</v>
      </c>
      <c r="F566" s="7">
        <v>250</v>
      </c>
      <c r="G566" s="7">
        <v>125</v>
      </c>
      <c r="H566" s="7">
        <f t="shared" si="35"/>
        <v>298375</v>
      </c>
      <c r="I566" s="7">
        <f t="shared" si="32"/>
        <v>44756.25</v>
      </c>
      <c r="J566" s="7">
        <f t="shared" si="33"/>
        <v>253618.75</v>
      </c>
      <c r="K566" s="7">
        <v>286440</v>
      </c>
      <c r="L566" s="12">
        <f t="shared" si="34"/>
        <v>-32821.25</v>
      </c>
      <c r="M566" s="8">
        <v>41944</v>
      </c>
      <c r="N566" s="9"/>
      <c r="O566" s="7"/>
      <c r="P566" s="10"/>
    </row>
    <row r="567" spans="1:16" ht="15.75" customHeight="1" x14ac:dyDescent="0.3">
      <c r="A567" s="11" t="s">
        <v>16</v>
      </c>
      <c r="B567" s="11" t="s">
        <v>23</v>
      </c>
      <c r="C567" s="12" t="s">
        <v>31</v>
      </c>
      <c r="D567" s="12" t="s">
        <v>35</v>
      </c>
      <c r="E567" s="11">
        <v>1233</v>
      </c>
      <c r="F567" s="12">
        <v>250</v>
      </c>
      <c r="G567" s="12">
        <v>20</v>
      </c>
      <c r="H567" s="7">
        <f t="shared" si="35"/>
        <v>24660</v>
      </c>
      <c r="I567" s="7">
        <f t="shared" si="32"/>
        <v>3699</v>
      </c>
      <c r="J567" s="7">
        <f t="shared" si="33"/>
        <v>20961</v>
      </c>
      <c r="K567" s="12">
        <v>12330</v>
      </c>
      <c r="L567" s="12">
        <f t="shared" si="34"/>
        <v>8631</v>
      </c>
      <c r="M567" s="13">
        <v>41974</v>
      </c>
      <c r="N567" s="14"/>
      <c r="O567" s="12"/>
      <c r="P567" s="15"/>
    </row>
    <row r="568" spans="1:16" ht="15.75" customHeight="1" x14ac:dyDescent="0.3">
      <c r="A568" s="6" t="s">
        <v>16</v>
      </c>
      <c r="B568" s="6" t="s">
        <v>28</v>
      </c>
      <c r="C568" s="7" t="s">
        <v>32</v>
      </c>
      <c r="D568" s="7" t="s">
        <v>35</v>
      </c>
      <c r="E568" s="6">
        <v>270</v>
      </c>
      <c r="F568" s="7">
        <v>260</v>
      </c>
      <c r="G568" s="7">
        <v>350</v>
      </c>
      <c r="H568" s="7">
        <f t="shared" si="35"/>
        <v>94500</v>
      </c>
      <c r="I568" s="7">
        <f t="shared" si="32"/>
        <v>14175</v>
      </c>
      <c r="J568" s="7">
        <f t="shared" si="33"/>
        <v>80325</v>
      </c>
      <c r="K568" s="7">
        <v>70200</v>
      </c>
      <c r="L568" s="12">
        <f t="shared" si="34"/>
        <v>10125</v>
      </c>
      <c r="M568" s="8">
        <v>41671</v>
      </c>
      <c r="N568" s="9"/>
      <c r="O568" s="7"/>
      <c r="P568" s="10"/>
    </row>
    <row r="569" spans="1:16" ht="15.75" customHeight="1" x14ac:dyDescent="0.3">
      <c r="A569" s="11" t="s">
        <v>16</v>
      </c>
      <c r="B569" s="11" t="s">
        <v>22</v>
      </c>
      <c r="C569" s="12" t="s">
        <v>32</v>
      </c>
      <c r="D569" s="12" t="s">
        <v>35</v>
      </c>
      <c r="E569" s="11">
        <v>3421.5</v>
      </c>
      <c r="F569" s="12">
        <v>260</v>
      </c>
      <c r="G569" s="12">
        <v>7</v>
      </c>
      <c r="H569" s="7">
        <f t="shared" si="35"/>
        <v>23950.5</v>
      </c>
      <c r="I569" s="7">
        <f t="shared" si="32"/>
        <v>3592.5749999999998</v>
      </c>
      <c r="J569" s="7">
        <f t="shared" si="33"/>
        <v>20357.924999999999</v>
      </c>
      <c r="K569" s="12">
        <v>17107.5</v>
      </c>
      <c r="L569" s="12">
        <f t="shared" si="34"/>
        <v>3250.4249999999993</v>
      </c>
      <c r="M569" s="13">
        <v>41821</v>
      </c>
      <c r="N569" s="14"/>
      <c r="O569" s="12"/>
      <c r="P569" s="15"/>
    </row>
    <row r="570" spans="1:16" ht="15.75" customHeight="1" x14ac:dyDescent="0.3">
      <c r="A570" s="6" t="s">
        <v>16</v>
      </c>
      <c r="B570" s="6" t="s">
        <v>17</v>
      </c>
      <c r="C570" s="7" t="s">
        <v>32</v>
      </c>
      <c r="D570" s="7" t="s">
        <v>35</v>
      </c>
      <c r="E570" s="6">
        <v>2734</v>
      </c>
      <c r="F570" s="7">
        <v>260</v>
      </c>
      <c r="G570" s="7">
        <v>7</v>
      </c>
      <c r="H570" s="7">
        <f t="shared" si="35"/>
        <v>19138</v>
      </c>
      <c r="I570" s="7">
        <f t="shared" si="32"/>
        <v>2870.7</v>
      </c>
      <c r="J570" s="7">
        <f t="shared" si="33"/>
        <v>16267.3</v>
      </c>
      <c r="K570" s="7">
        <v>13670</v>
      </c>
      <c r="L570" s="12">
        <f t="shared" si="34"/>
        <v>2597.2999999999993</v>
      </c>
      <c r="M570" s="8">
        <v>41913</v>
      </c>
      <c r="N570" s="9"/>
      <c r="O570" s="7"/>
      <c r="P570" s="10"/>
    </row>
    <row r="571" spans="1:16" ht="15.75" customHeight="1" x14ac:dyDescent="0.3">
      <c r="A571" s="11" t="s">
        <v>21</v>
      </c>
      <c r="B571" s="11" t="s">
        <v>28</v>
      </c>
      <c r="C571" s="12" t="s">
        <v>32</v>
      </c>
      <c r="D571" s="12" t="s">
        <v>35</v>
      </c>
      <c r="E571" s="11">
        <v>2548</v>
      </c>
      <c r="F571" s="12">
        <v>260</v>
      </c>
      <c r="G571" s="12">
        <v>15</v>
      </c>
      <c r="H571" s="7">
        <f t="shared" si="35"/>
        <v>38220</v>
      </c>
      <c r="I571" s="7">
        <f t="shared" si="32"/>
        <v>5733</v>
      </c>
      <c r="J571" s="7">
        <f t="shared" si="33"/>
        <v>32487</v>
      </c>
      <c r="K571" s="12">
        <v>25480</v>
      </c>
      <c r="L571" s="12">
        <f t="shared" si="34"/>
        <v>7007</v>
      </c>
      <c r="M571" s="13">
        <v>41579</v>
      </c>
      <c r="N571" s="14"/>
      <c r="O571" s="12"/>
      <c r="P571" s="15"/>
    </row>
    <row r="572" spans="1:16" ht="15.75" customHeight="1" x14ac:dyDescent="0.3">
      <c r="A572" s="6" t="s">
        <v>16</v>
      </c>
      <c r="B572" s="6" t="s">
        <v>22</v>
      </c>
      <c r="C572" s="7" t="s">
        <v>18</v>
      </c>
      <c r="D572" s="7" t="s">
        <v>35</v>
      </c>
      <c r="E572" s="6">
        <v>2521.5</v>
      </c>
      <c r="F572" s="7">
        <v>3</v>
      </c>
      <c r="G572" s="7">
        <v>20</v>
      </c>
      <c r="H572" s="7">
        <f t="shared" si="35"/>
        <v>50430</v>
      </c>
      <c r="I572" s="7">
        <f t="shared" si="32"/>
        <v>7564.5</v>
      </c>
      <c r="J572" s="7">
        <f t="shared" si="33"/>
        <v>42865.5</v>
      </c>
      <c r="K572" s="7">
        <v>25215</v>
      </c>
      <c r="L572" s="12">
        <f t="shared" si="34"/>
        <v>17650.5</v>
      </c>
      <c r="M572" s="8">
        <v>41640</v>
      </c>
      <c r="N572" s="9"/>
      <c r="O572" s="7"/>
      <c r="P572" s="10"/>
    </row>
    <row r="573" spans="1:16" ht="15.75" customHeight="1" x14ac:dyDescent="0.3">
      <c r="A573" s="11" t="s">
        <v>25</v>
      </c>
      <c r="B573" s="11" t="s">
        <v>23</v>
      </c>
      <c r="C573" s="12" t="s">
        <v>24</v>
      </c>
      <c r="D573" s="12" t="s">
        <v>35</v>
      </c>
      <c r="E573" s="11">
        <v>2661</v>
      </c>
      <c r="F573" s="12">
        <v>5</v>
      </c>
      <c r="G573" s="12">
        <v>12</v>
      </c>
      <c r="H573" s="7">
        <f t="shared" si="35"/>
        <v>31932</v>
      </c>
      <c r="I573" s="7">
        <f t="shared" si="32"/>
        <v>4789.8</v>
      </c>
      <c r="J573" s="7">
        <f t="shared" si="33"/>
        <v>27142.2</v>
      </c>
      <c r="K573" s="12">
        <v>7983</v>
      </c>
      <c r="L573" s="12">
        <f t="shared" si="34"/>
        <v>19159.2</v>
      </c>
      <c r="M573" s="13">
        <v>41760</v>
      </c>
      <c r="N573" s="14"/>
      <c r="O573" s="12"/>
      <c r="P573" s="15"/>
    </row>
    <row r="574" spans="1:16" ht="15.75" customHeight="1" x14ac:dyDescent="0.3">
      <c r="A574" s="6" t="s">
        <v>16</v>
      </c>
      <c r="B574" s="6" t="s">
        <v>20</v>
      </c>
      <c r="C574" s="7" t="s">
        <v>29</v>
      </c>
      <c r="D574" s="7" t="s">
        <v>35</v>
      </c>
      <c r="E574" s="6">
        <v>1531</v>
      </c>
      <c r="F574" s="7">
        <v>10</v>
      </c>
      <c r="G574" s="7">
        <v>20</v>
      </c>
      <c r="H574" s="7">
        <f t="shared" si="35"/>
        <v>30620</v>
      </c>
      <c r="I574" s="7">
        <f t="shared" si="32"/>
        <v>4593</v>
      </c>
      <c r="J574" s="7">
        <f t="shared" si="33"/>
        <v>26027</v>
      </c>
      <c r="K574" s="7">
        <v>15310</v>
      </c>
      <c r="L574" s="12">
        <f t="shared" si="34"/>
        <v>10717</v>
      </c>
      <c r="M574" s="8">
        <v>41974</v>
      </c>
      <c r="N574" s="9"/>
      <c r="O574" s="7"/>
      <c r="P574" s="10"/>
    </row>
    <row r="575" spans="1:16" ht="15.75" customHeight="1" x14ac:dyDescent="0.3">
      <c r="A575" s="11" t="s">
        <v>16</v>
      </c>
      <c r="B575" s="11" t="s">
        <v>22</v>
      </c>
      <c r="C575" s="12" t="s">
        <v>31</v>
      </c>
      <c r="D575" s="12" t="s">
        <v>35</v>
      </c>
      <c r="E575" s="11">
        <v>1491</v>
      </c>
      <c r="F575" s="12">
        <v>250</v>
      </c>
      <c r="G575" s="12">
        <v>7</v>
      </c>
      <c r="H575" s="7">
        <f t="shared" si="35"/>
        <v>10437</v>
      </c>
      <c r="I575" s="7">
        <f t="shared" si="32"/>
        <v>1565.55</v>
      </c>
      <c r="J575" s="7">
        <f t="shared" si="33"/>
        <v>8871.4500000000007</v>
      </c>
      <c r="K575" s="12">
        <v>7455</v>
      </c>
      <c r="L575" s="12">
        <f t="shared" si="34"/>
        <v>1416.4500000000007</v>
      </c>
      <c r="M575" s="13">
        <v>41699</v>
      </c>
      <c r="N575" s="14"/>
      <c r="O575" s="12"/>
      <c r="P575" s="15"/>
    </row>
    <row r="576" spans="1:16" ht="15.75" customHeight="1" x14ac:dyDescent="0.3">
      <c r="A576" s="6" t="s">
        <v>16</v>
      </c>
      <c r="B576" s="6" t="s">
        <v>20</v>
      </c>
      <c r="C576" s="7" t="s">
        <v>31</v>
      </c>
      <c r="D576" s="7" t="s">
        <v>35</v>
      </c>
      <c r="E576" s="6">
        <v>1531</v>
      </c>
      <c r="F576" s="7">
        <v>250</v>
      </c>
      <c r="G576" s="7">
        <v>20</v>
      </c>
      <c r="H576" s="7">
        <f t="shared" si="35"/>
        <v>30620</v>
      </c>
      <c r="I576" s="7">
        <f t="shared" si="32"/>
        <v>4593</v>
      </c>
      <c r="J576" s="7">
        <f t="shared" si="33"/>
        <v>26027</v>
      </c>
      <c r="K576" s="7">
        <v>15310</v>
      </c>
      <c r="L576" s="12">
        <f t="shared" si="34"/>
        <v>10717</v>
      </c>
      <c r="M576" s="8">
        <v>41974</v>
      </c>
      <c r="N576" s="9"/>
      <c r="O576" s="7"/>
      <c r="P576" s="10"/>
    </row>
    <row r="577" spans="1:16" ht="15.75" customHeight="1" x14ac:dyDescent="0.3">
      <c r="A577" s="11" t="s">
        <v>25</v>
      </c>
      <c r="B577" s="11" t="s">
        <v>17</v>
      </c>
      <c r="C577" s="12" t="s">
        <v>32</v>
      </c>
      <c r="D577" s="12" t="s">
        <v>35</v>
      </c>
      <c r="E577" s="11">
        <v>2761</v>
      </c>
      <c r="F577" s="12">
        <v>260</v>
      </c>
      <c r="G577" s="12">
        <v>12</v>
      </c>
      <c r="H577" s="7">
        <f t="shared" si="35"/>
        <v>33132</v>
      </c>
      <c r="I577" s="7">
        <f t="shared" si="32"/>
        <v>4969.8</v>
      </c>
      <c r="J577" s="7">
        <f t="shared" si="33"/>
        <v>28162.2</v>
      </c>
      <c r="K577" s="12">
        <v>8283</v>
      </c>
      <c r="L577" s="12">
        <f t="shared" si="34"/>
        <v>19879.2</v>
      </c>
      <c r="M577" s="13">
        <v>41518</v>
      </c>
      <c r="N577" s="14"/>
      <c r="O577" s="12"/>
      <c r="P577" s="15"/>
    </row>
    <row r="578" spans="1:16" ht="15.75" customHeight="1" x14ac:dyDescent="0.3">
      <c r="A578" s="6" t="s">
        <v>21</v>
      </c>
      <c r="B578" s="6" t="s">
        <v>28</v>
      </c>
      <c r="C578" s="7" t="s">
        <v>18</v>
      </c>
      <c r="D578" s="7" t="s">
        <v>35</v>
      </c>
      <c r="E578" s="6">
        <v>2567</v>
      </c>
      <c r="F578" s="7">
        <v>3</v>
      </c>
      <c r="G578" s="7">
        <v>15</v>
      </c>
      <c r="H578" s="7">
        <f t="shared" si="35"/>
        <v>38505</v>
      </c>
      <c r="I578" s="7">
        <f t="shared" si="32"/>
        <v>5775.75</v>
      </c>
      <c r="J578" s="7">
        <f t="shared" si="33"/>
        <v>32729.25</v>
      </c>
      <c r="K578" s="7">
        <v>25670</v>
      </c>
      <c r="L578" s="12">
        <f t="shared" si="34"/>
        <v>7059.25</v>
      </c>
      <c r="M578" s="8">
        <v>41791</v>
      </c>
      <c r="N578" s="9"/>
      <c r="O578" s="7"/>
      <c r="P578" s="10"/>
    </row>
    <row r="579" spans="1:16" ht="15.75" customHeight="1" x14ac:dyDescent="0.3">
      <c r="A579" s="11" t="s">
        <v>21</v>
      </c>
      <c r="B579" s="11" t="s">
        <v>28</v>
      </c>
      <c r="C579" s="12" t="s">
        <v>31</v>
      </c>
      <c r="D579" s="12" t="s">
        <v>35</v>
      </c>
      <c r="E579" s="11">
        <v>2567</v>
      </c>
      <c r="F579" s="12">
        <v>250</v>
      </c>
      <c r="G579" s="12">
        <v>15</v>
      </c>
      <c r="H579" s="7">
        <f t="shared" si="35"/>
        <v>38505</v>
      </c>
      <c r="I579" s="7">
        <f t="shared" ref="I579:I642" si="36">IF(D579="None", 0, IF(D579="Low", H579*0.05, IF(D579="Medium", H579*0.1, IF(D579="High", H579*0.15, 0))))</f>
        <v>5775.75</v>
      </c>
      <c r="J579" s="7">
        <f t="shared" ref="J579:J642" si="37">H579-I579</f>
        <v>32729.25</v>
      </c>
      <c r="K579" s="12">
        <v>25670</v>
      </c>
      <c r="L579" s="12">
        <f t="shared" si="34"/>
        <v>7059.25</v>
      </c>
      <c r="M579" s="13">
        <v>41791</v>
      </c>
      <c r="N579" s="14"/>
      <c r="O579" s="12"/>
      <c r="P579" s="15"/>
    </row>
    <row r="580" spans="1:16" ht="15.75" customHeight="1" x14ac:dyDescent="0.3">
      <c r="A580" s="6" t="s">
        <v>16</v>
      </c>
      <c r="B580" s="6" t="s">
        <v>17</v>
      </c>
      <c r="C580" s="7" t="s">
        <v>18</v>
      </c>
      <c r="D580" s="7" t="s">
        <v>35</v>
      </c>
      <c r="E580" s="6">
        <v>923</v>
      </c>
      <c r="F580" s="7">
        <v>3</v>
      </c>
      <c r="G580" s="7">
        <v>350</v>
      </c>
      <c r="H580" s="7">
        <f t="shared" si="35"/>
        <v>323050</v>
      </c>
      <c r="I580" s="7">
        <f t="shared" si="36"/>
        <v>48457.5</v>
      </c>
      <c r="J580" s="7">
        <f t="shared" si="37"/>
        <v>274592.5</v>
      </c>
      <c r="K580" s="7">
        <v>239980</v>
      </c>
      <c r="L580" s="12">
        <f t="shared" ref="L580:L643" si="38">J580-K580</f>
        <v>34612.5</v>
      </c>
      <c r="M580" s="8">
        <v>41699</v>
      </c>
      <c r="N580" s="9"/>
      <c r="O580" s="7"/>
      <c r="P580" s="10"/>
    </row>
    <row r="581" spans="1:16" ht="15.75" customHeight="1" x14ac:dyDescent="0.3">
      <c r="A581" s="11" t="s">
        <v>16</v>
      </c>
      <c r="B581" s="11" t="s">
        <v>22</v>
      </c>
      <c r="C581" s="12" t="s">
        <v>18</v>
      </c>
      <c r="D581" s="12" t="s">
        <v>35</v>
      </c>
      <c r="E581" s="11">
        <v>1790</v>
      </c>
      <c r="F581" s="12">
        <v>3</v>
      </c>
      <c r="G581" s="12">
        <v>350</v>
      </c>
      <c r="H581" s="7">
        <f t="shared" ref="H581:H644" si="39">E581*G581</f>
        <v>626500</v>
      </c>
      <c r="I581" s="7">
        <f t="shared" si="36"/>
        <v>93975</v>
      </c>
      <c r="J581" s="7">
        <f t="shared" si="37"/>
        <v>532525</v>
      </c>
      <c r="K581" s="12">
        <v>465400</v>
      </c>
      <c r="L581" s="12">
        <f t="shared" si="38"/>
        <v>67125</v>
      </c>
      <c r="M581" s="13">
        <v>41699</v>
      </c>
      <c r="N581" s="14"/>
      <c r="O581" s="12"/>
      <c r="P581" s="15"/>
    </row>
    <row r="582" spans="1:16" ht="15.75" customHeight="1" x14ac:dyDescent="0.3">
      <c r="A582" s="6" t="s">
        <v>16</v>
      </c>
      <c r="B582" s="6" t="s">
        <v>20</v>
      </c>
      <c r="C582" s="7" t="s">
        <v>18</v>
      </c>
      <c r="D582" s="7" t="s">
        <v>35</v>
      </c>
      <c r="E582" s="6">
        <v>442</v>
      </c>
      <c r="F582" s="7">
        <v>3</v>
      </c>
      <c r="G582" s="7">
        <v>20</v>
      </c>
      <c r="H582" s="7">
        <f t="shared" si="39"/>
        <v>8840</v>
      </c>
      <c r="I582" s="7">
        <f t="shared" si="36"/>
        <v>1326</v>
      </c>
      <c r="J582" s="7">
        <f t="shared" si="37"/>
        <v>7514</v>
      </c>
      <c r="K582" s="7">
        <v>4420</v>
      </c>
      <c r="L582" s="12">
        <f t="shared" si="38"/>
        <v>3094</v>
      </c>
      <c r="M582" s="8">
        <v>41518</v>
      </c>
      <c r="N582" s="9"/>
      <c r="O582" s="7"/>
      <c r="P582" s="10"/>
    </row>
    <row r="583" spans="1:16" ht="15.75" customHeight="1" x14ac:dyDescent="0.3">
      <c r="A583" s="11" t="s">
        <v>16</v>
      </c>
      <c r="B583" s="11" t="s">
        <v>28</v>
      </c>
      <c r="C583" s="12" t="s">
        <v>24</v>
      </c>
      <c r="D583" s="12" t="s">
        <v>35</v>
      </c>
      <c r="E583" s="11">
        <v>982.5</v>
      </c>
      <c r="F583" s="12">
        <v>5</v>
      </c>
      <c r="G583" s="12">
        <v>350</v>
      </c>
      <c r="H583" s="7">
        <f t="shared" si="39"/>
        <v>343875</v>
      </c>
      <c r="I583" s="7">
        <f t="shared" si="36"/>
        <v>51581.25</v>
      </c>
      <c r="J583" s="7">
        <f t="shared" si="37"/>
        <v>292293.75</v>
      </c>
      <c r="K583" s="12">
        <v>255450</v>
      </c>
      <c r="L583" s="12">
        <f t="shared" si="38"/>
        <v>36843.75</v>
      </c>
      <c r="M583" s="13">
        <v>41640</v>
      </c>
      <c r="N583" s="14"/>
      <c r="O583" s="12"/>
      <c r="P583" s="15"/>
    </row>
    <row r="584" spans="1:16" ht="15.75" customHeight="1" x14ac:dyDescent="0.3">
      <c r="A584" s="6" t="s">
        <v>16</v>
      </c>
      <c r="B584" s="6" t="s">
        <v>28</v>
      </c>
      <c r="C584" s="7" t="s">
        <v>24</v>
      </c>
      <c r="D584" s="7" t="s">
        <v>35</v>
      </c>
      <c r="E584" s="6">
        <v>1298</v>
      </c>
      <c r="F584" s="7">
        <v>5</v>
      </c>
      <c r="G584" s="7">
        <v>7</v>
      </c>
      <c r="H584" s="7">
        <f t="shared" si="39"/>
        <v>9086</v>
      </c>
      <c r="I584" s="7">
        <f t="shared" si="36"/>
        <v>1362.8999999999999</v>
      </c>
      <c r="J584" s="7">
        <f t="shared" si="37"/>
        <v>7723.1</v>
      </c>
      <c r="K584" s="7">
        <v>6490</v>
      </c>
      <c r="L584" s="12">
        <f t="shared" si="38"/>
        <v>1233.1000000000004</v>
      </c>
      <c r="M584" s="8">
        <v>41671</v>
      </c>
      <c r="N584" s="9"/>
      <c r="O584" s="7"/>
      <c r="P584" s="10"/>
    </row>
    <row r="585" spans="1:16" ht="15.75" customHeight="1" x14ac:dyDescent="0.3">
      <c r="A585" s="11" t="s">
        <v>25</v>
      </c>
      <c r="B585" s="11" t="s">
        <v>23</v>
      </c>
      <c r="C585" s="12" t="s">
        <v>24</v>
      </c>
      <c r="D585" s="12" t="s">
        <v>35</v>
      </c>
      <c r="E585" s="11">
        <v>604</v>
      </c>
      <c r="F585" s="12">
        <v>5</v>
      </c>
      <c r="G585" s="12">
        <v>12</v>
      </c>
      <c r="H585" s="7">
        <f t="shared" si="39"/>
        <v>7248</v>
      </c>
      <c r="I585" s="7">
        <f t="shared" si="36"/>
        <v>1087.2</v>
      </c>
      <c r="J585" s="7">
        <f t="shared" si="37"/>
        <v>6160.8</v>
      </c>
      <c r="K585" s="12">
        <v>1812</v>
      </c>
      <c r="L585" s="12">
        <f t="shared" si="38"/>
        <v>4348.8</v>
      </c>
      <c r="M585" s="13">
        <v>41791</v>
      </c>
      <c r="N585" s="14"/>
      <c r="O585" s="12"/>
      <c r="P585" s="15"/>
    </row>
    <row r="586" spans="1:16" ht="15.75" customHeight="1" x14ac:dyDescent="0.3">
      <c r="A586" s="6" t="s">
        <v>16</v>
      </c>
      <c r="B586" s="6" t="s">
        <v>23</v>
      </c>
      <c r="C586" s="7" t="s">
        <v>24</v>
      </c>
      <c r="D586" s="7" t="s">
        <v>35</v>
      </c>
      <c r="E586" s="6">
        <v>2255</v>
      </c>
      <c r="F586" s="7">
        <v>5</v>
      </c>
      <c r="G586" s="7">
        <v>20</v>
      </c>
      <c r="H586" s="7">
        <f t="shared" si="39"/>
        <v>45100</v>
      </c>
      <c r="I586" s="7">
        <f t="shared" si="36"/>
        <v>6765</v>
      </c>
      <c r="J586" s="7">
        <f t="shared" si="37"/>
        <v>38335</v>
      </c>
      <c r="K586" s="7">
        <v>22550</v>
      </c>
      <c r="L586" s="12">
        <f t="shared" si="38"/>
        <v>15785</v>
      </c>
      <c r="M586" s="8">
        <v>41821</v>
      </c>
      <c r="N586" s="9"/>
      <c r="O586" s="7"/>
      <c r="P586" s="10"/>
    </row>
    <row r="587" spans="1:16" ht="15.75" customHeight="1" x14ac:dyDescent="0.3">
      <c r="A587" s="11" t="s">
        <v>16</v>
      </c>
      <c r="B587" s="11" t="s">
        <v>17</v>
      </c>
      <c r="C587" s="12" t="s">
        <v>24</v>
      </c>
      <c r="D587" s="12" t="s">
        <v>35</v>
      </c>
      <c r="E587" s="11">
        <v>1249</v>
      </c>
      <c r="F587" s="12">
        <v>5</v>
      </c>
      <c r="G587" s="12">
        <v>20</v>
      </c>
      <c r="H587" s="7">
        <f t="shared" si="39"/>
        <v>24980</v>
      </c>
      <c r="I587" s="7">
        <f t="shared" si="36"/>
        <v>3747</v>
      </c>
      <c r="J587" s="7">
        <f t="shared" si="37"/>
        <v>21233</v>
      </c>
      <c r="K587" s="12">
        <v>12490</v>
      </c>
      <c r="L587" s="12">
        <f t="shared" si="38"/>
        <v>8743</v>
      </c>
      <c r="M587" s="13">
        <v>41913</v>
      </c>
      <c r="N587" s="14"/>
      <c r="O587" s="12"/>
      <c r="P587" s="15"/>
    </row>
    <row r="588" spans="1:16" ht="15.75" customHeight="1" x14ac:dyDescent="0.3">
      <c r="A588" s="6" t="s">
        <v>16</v>
      </c>
      <c r="B588" s="6" t="s">
        <v>28</v>
      </c>
      <c r="C588" s="7" t="s">
        <v>29</v>
      </c>
      <c r="D588" s="7" t="s">
        <v>35</v>
      </c>
      <c r="E588" s="6">
        <v>1438.5</v>
      </c>
      <c r="F588" s="7">
        <v>10</v>
      </c>
      <c r="G588" s="7">
        <v>7</v>
      </c>
      <c r="H588" s="7">
        <f t="shared" si="39"/>
        <v>10069.5</v>
      </c>
      <c r="I588" s="7">
        <f t="shared" si="36"/>
        <v>1510.425</v>
      </c>
      <c r="J588" s="7">
        <f t="shared" si="37"/>
        <v>8559.0750000000007</v>
      </c>
      <c r="K588" s="7">
        <v>7192.5</v>
      </c>
      <c r="L588" s="12">
        <f t="shared" si="38"/>
        <v>1366.5750000000007</v>
      </c>
      <c r="M588" s="8">
        <v>41640</v>
      </c>
      <c r="N588" s="9"/>
      <c r="O588" s="7"/>
      <c r="P588" s="10"/>
    </row>
    <row r="589" spans="1:16" ht="15.75" customHeight="1" x14ac:dyDescent="0.3">
      <c r="A589" s="11" t="s">
        <v>27</v>
      </c>
      <c r="B589" s="11" t="s">
        <v>20</v>
      </c>
      <c r="C589" s="12" t="s">
        <v>29</v>
      </c>
      <c r="D589" s="12" t="s">
        <v>35</v>
      </c>
      <c r="E589" s="11">
        <v>807</v>
      </c>
      <c r="F589" s="12">
        <v>10</v>
      </c>
      <c r="G589" s="12">
        <v>300</v>
      </c>
      <c r="H589" s="7">
        <f t="shared" si="39"/>
        <v>242100</v>
      </c>
      <c r="I589" s="7">
        <f t="shared" si="36"/>
        <v>36315</v>
      </c>
      <c r="J589" s="7">
        <f t="shared" si="37"/>
        <v>205785</v>
      </c>
      <c r="K589" s="12">
        <v>201750</v>
      </c>
      <c r="L589" s="12">
        <f t="shared" si="38"/>
        <v>4035</v>
      </c>
      <c r="M589" s="13">
        <v>41640</v>
      </c>
      <c r="N589" s="14"/>
      <c r="O589" s="12"/>
      <c r="P589" s="15"/>
    </row>
    <row r="590" spans="1:16" ht="15.75" customHeight="1" x14ac:dyDescent="0.3">
      <c r="A590" s="6" t="s">
        <v>16</v>
      </c>
      <c r="B590" s="6" t="s">
        <v>28</v>
      </c>
      <c r="C590" s="7" t="s">
        <v>29</v>
      </c>
      <c r="D590" s="7" t="s">
        <v>35</v>
      </c>
      <c r="E590" s="6">
        <v>2641</v>
      </c>
      <c r="F590" s="7">
        <v>10</v>
      </c>
      <c r="G590" s="7">
        <v>20</v>
      </c>
      <c r="H590" s="7">
        <f t="shared" si="39"/>
        <v>52820</v>
      </c>
      <c r="I590" s="7">
        <f t="shared" si="36"/>
        <v>7923</v>
      </c>
      <c r="J590" s="7">
        <f t="shared" si="37"/>
        <v>44897</v>
      </c>
      <c r="K590" s="7">
        <v>26410</v>
      </c>
      <c r="L590" s="12">
        <f t="shared" si="38"/>
        <v>18487</v>
      </c>
      <c r="M590" s="8">
        <v>41671</v>
      </c>
      <c r="N590" s="9"/>
      <c r="O590" s="7"/>
      <c r="P590" s="10"/>
    </row>
    <row r="591" spans="1:16" ht="15.75" customHeight="1" x14ac:dyDescent="0.3">
      <c r="A591" s="11" t="s">
        <v>16</v>
      </c>
      <c r="B591" s="11" t="s">
        <v>20</v>
      </c>
      <c r="C591" s="12" t="s">
        <v>29</v>
      </c>
      <c r="D591" s="12" t="s">
        <v>35</v>
      </c>
      <c r="E591" s="11">
        <v>2708</v>
      </c>
      <c r="F591" s="12">
        <v>10</v>
      </c>
      <c r="G591" s="12">
        <v>20</v>
      </c>
      <c r="H591" s="7">
        <f t="shared" si="39"/>
        <v>54160</v>
      </c>
      <c r="I591" s="7">
        <f t="shared" si="36"/>
        <v>8124</v>
      </c>
      <c r="J591" s="7">
        <f t="shared" si="37"/>
        <v>46036</v>
      </c>
      <c r="K591" s="12">
        <v>27080</v>
      </c>
      <c r="L591" s="12">
        <f t="shared" si="38"/>
        <v>18956</v>
      </c>
      <c r="M591" s="13">
        <v>41671</v>
      </c>
      <c r="N591" s="14"/>
      <c r="O591" s="12"/>
      <c r="P591" s="15"/>
    </row>
    <row r="592" spans="1:16" ht="15.75" customHeight="1" x14ac:dyDescent="0.3">
      <c r="A592" s="6" t="s">
        <v>16</v>
      </c>
      <c r="B592" s="6" t="s">
        <v>17</v>
      </c>
      <c r="C592" s="7" t="s">
        <v>29</v>
      </c>
      <c r="D592" s="7" t="s">
        <v>35</v>
      </c>
      <c r="E592" s="6">
        <v>2632</v>
      </c>
      <c r="F592" s="7">
        <v>10</v>
      </c>
      <c r="G592" s="7">
        <v>350</v>
      </c>
      <c r="H592" s="7">
        <f t="shared" si="39"/>
        <v>921200</v>
      </c>
      <c r="I592" s="7">
        <f t="shared" si="36"/>
        <v>138180</v>
      </c>
      <c r="J592" s="7">
        <f t="shared" si="37"/>
        <v>783020</v>
      </c>
      <c r="K592" s="7">
        <v>684320</v>
      </c>
      <c r="L592" s="12">
        <f t="shared" si="38"/>
        <v>98700</v>
      </c>
      <c r="M592" s="8">
        <v>41791</v>
      </c>
      <c r="N592" s="9"/>
      <c r="O592" s="7"/>
      <c r="P592" s="10"/>
    </row>
    <row r="593" spans="1:16" ht="15.75" customHeight="1" x14ac:dyDescent="0.3">
      <c r="A593" s="11" t="s">
        <v>26</v>
      </c>
      <c r="B593" s="11" t="s">
        <v>17</v>
      </c>
      <c r="C593" s="12" t="s">
        <v>29</v>
      </c>
      <c r="D593" s="12" t="s">
        <v>35</v>
      </c>
      <c r="E593" s="11">
        <v>1583</v>
      </c>
      <c r="F593" s="12">
        <v>10</v>
      </c>
      <c r="G593" s="12">
        <v>125</v>
      </c>
      <c r="H593" s="7">
        <f t="shared" si="39"/>
        <v>197875</v>
      </c>
      <c r="I593" s="7">
        <f t="shared" si="36"/>
        <v>29681.25</v>
      </c>
      <c r="J593" s="7">
        <f t="shared" si="37"/>
        <v>168193.75</v>
      </c>
      <c r="K593" s="12">
        <v>189960</v>
      </c>
      <c r="L593" s="12">
        <f>J593-K593</f>
        <v>-21766.25</v>
      </c>
      <c r="M593" s="13">
        <v>41791</v>
      </c>
      <c r="N593" s="14"/>
      <c r="O593" s="12"/>
      <c r="P593" s="15"/>
    </row>
    <row r="594" spans="1:16" ht="15.75" customHeight="1" x14ac:dyDescent="0.3">
      <c r="A594" s="6" t="s">
        <v>25</v>
      </c>
      <c r="B594" s="6" t="s">
        <v>23</v>
      </c>
      <c r="C594" s="7" t="s">
        <v>29</v>
      </c>
      <c r="D594" s="7" t="s">
        <v>35</v>
      </c>
      <c r="E594" s="6">
        <v>571</v>
      </c>
      <c r="F594" s="7">
        <v>10</v>
      </c>
      <c r="G594" s="7">
        <v>12</v>
      </c>
      <c r="H594" s="7">
        <f t="shared" si="39"/>
        <v>6852</v>
      </c>
      <c r="I594" s="7">
        <f t="shared" si="36"/>
        <v>1027.8</v>
      </c>
      <c r="J594" s="7">
        <f t="shared" si="37"/>
        <v>5824.2</v>
      </c>
      <c r="K594" s="7">
        <v>1713</v>
      </c>
      <c r="L594" s="12">
        <f t="shared" si="38"/>
        <v>4111.2</v>
      </c>
      <c r="M594" s="8">
        <v>41821</v>
      </c>
      <c r="N594" s="9"/>
      <c r="O594" s="7"/>
      <c r="P594" s="10"/>
    </row>
    <row r="595" spans="1:16" ht="15.75" customHeight="1" x14ac:dyDescent="0.3">
      <c r="A595" s="11" t="s">
        <v>16</v>
      </c>
      <c r="B595" s="11" t="s">
        <v>22</v>
      </c>
      <c r="C595" s="12" t="s">
        <v>29</v>
      </c>
      <c r="D595" s="12" t="s">
        <v>35</v>
      </c>
      <c r="E595" s="11">
        <v>2696</v>
      </c>
      <c r="F595" s="12">
        <v>10</v>
      </c>
      <c r="G595" s="12">
        <v>7</v>
      </c>
      <c r="H595" s="7">
        <f t="shared" si="39"/>
        <v>18872</v>
      </c>
      <c r="I595" s="7">
        <f t="shared" si="36"/>
        <v>2830.7999999999997</v>
      </c>
      <c r="J595" s="7">
        <f t="shared" si="37"/>
        <v>16041.2</v>
      </c>
      <c r="K595" s="12">
        <v>13480</v>
      </c>
      <c r="L595" s="12">
        <f t="shared" si="38"/>
        <v>2561.2000000000007</v>
      </c>
      <c r="M595" s="13">
        <v>41852</v>
      </c>
      <c r="N595" s="14"/>
      <c r="O595" s="12"/>
      <c r="P595" s="15"/>
    </row>
    <row r="596" spans="1:16" ht="15.75" customHeight="1" x14ac:dyDescent="0.3">
      <c r="A596" s="6" t="s">
        <v>21</v>
      </c>
      <c r="B596" s="6" t="s">
        <v>17</v>
      </c>
      <c r="C596" s="7" t="s">
        <v>29</v>
      </c>
      <c r="D596" s="7" t="s">
        <v>35</v>
      </c>
      <c r="E596" s="6">
        <v>1565</v>
      </c>
      <c r="F596" s="7">
        <v>10</v>
      </c>
      <c r="G596" s="7">
        <v>15</v>
      </c>
      <c r="H596" s="7">
        <f t="shared" si="39"/>
        <v>23475</v>
      </c>
      <c r="I596" s="7">
        <f t="shared" si="36"/>
        <v>3521.25</v>
      </c>
      <c r="J596" s="7">
        <f t="shared" si="37"/>
        <v>19953.75</v>
      </c>
      <c r="K596" s="7">
        <v>15650</v>
      </c>
      <c r="L596" s="12">
        <f t="shared" si="38"/>
        <v>4303.75</v>
      </c>
      <c r="M596" s="8">
        <v>41913</v>
      </c>
      <c r="N596" s="9"/>
      <c r="O596" s="7"/>
      <c r="P596" s="10"/>
    </row>
    <row r="597" spans="1:16" ht="15.75" customHeight="1" x14ac:dyDescent="0.3">
      <c r="A597" s="11" t="s">
        <v>16</v>
      </c>
      <c r="B597" s="11" t="s">
        <v>17</v>
      </c>
      <c r="C597" s="12" t="s">
        <v>29</v>
      </c>
      <c r="D597" s="12" t="s">
        <v>35</v>
      </c>
      <c r="E597" s="11">
        <v>1249</v>
      </c>
      <c r="F597" s="12">
        <v>10</v>
      </c>
      <c r="G597" s="12">
        <v>20</v>
      </c>
      <c r="H597" s="7">
        <f t="shared" si="39"/>
        <v>24980</v>
      </c>
      <c r="I597" s="7">
        <f t="shared" si="36"/>
        <v>3747</v>
      </c>
      <c r="J597" s="7">
        <f t="shared" si="37"/>
        <v>21233</v>
      </c>
      <c r="K597" s="12">
        <v>12490</v>
      </c>
      <c r="L597" s="12">
        <f t="shared" si="38"/>
        <v>8743</v>
      </c>
      <c r="M597" s="13">
        <v>41913</v>
      </c>
      <c r="N597" s="14"/>
      <c r="O597" s="12"/>
      <c r="P597" s="15"/>
    </row>
    <row r="598" spans="1:16" ht="15.75" customHeight="1" x14ac:dyDescent="0.3">
      <c r="A598" s="6" t="s">
        <v>16</v>
      </c>
      <c r="B598" s="6" t="s">
        <v>20</v>
      </c>
      <c r="C598" s="7" t="s">
        <v>29</v>
      </c>
      <c r="D598" s="7" t="s">
        <v>35</v>
      </c>
      <c r="E598" s="6">
        <v>357</v>
      </c>
      <c r="F598" s="7">
        <v>10</v>
      </c>
      <c r="G598" s="7">
        <v>350</v>
      </c>
      <c r="H598" s="7">
        <f t="shared" si="39"/>
        <v>124950</v>
      </c>
      <c r="I598" s="7">
        <f t="shared" si="36"/>
        <v>18742.5</v>
      </c>
      <c r="J598" s="7">
        <f t="shared" si="37"/>
        <v>106207.5</v>
      </c>
      <c r="K598" s="7">
        <v>92820</v>
      </c>
      <c r="L598" s="12">
        <f t="shared" si="38"/>
        <v>13387.5</v>
      </c>
      <c r="M598" s="8">
        <v>41944</v>
      </c>
      <c r="N598" s="9"/>
      <c r="O598" s="7"/>
      <c r="P598" s="10"/>
    </row>
    <row r="599" spans="1:16" ht="15.75" customHeight="1" x14ac:dyDescent="0.3">
      <c r="A599" s="11" t="s">
        <v>25</v>
      </c>
      <c r="B599" s="11" t="s">
        <v>20</v>
      </c>
      <c r="C599" s="12" t="s">
        <v>29</v>
      </c>
      <c r="D599" s="12" t="s">
        <v>35</v>
      </c>
      <c r="E599" s="11">
        <v>1013</v>
      </c>
      <c r="F599" s="12">
        <v>10</v>
      </c>
      <c r="G599" s="12">
        <v>12</v>
      </c>
      <c r="H599" s="7">
        <f t="shared" si="39"/>
        <v>12156</v>
      </c>
      <c r="I599" s="7">
        <f t="shared" si="36"/>
        <v>1823.3999999999999</v>
      </c>
      <c r="J599" s="7">
        <f t="shared" si="37"/>
        <v>10332.6</v>
      </c>
      <c r="K599" s="12">
        <v>3039</v>
      </c>
      <c r="L599" s="12">
        <f t="shared" si="38"/>
        <v>7293.6</v>
      </c>
      <c r="M599" s="13">
        <v>41974</v>
      </c>
      <c r="N599" s="14"/>
      <c r="O599" s="12"/>
      <c r="P599" s="15"/>
    </row>
    <row r="600" spans="1:16" ht="15.75" customHeight="1" x14ac:dyDescent="0.3">
      <c r="A600" s="6" t="s">
        <v>21</v>
      </c>
      <c r="B600" s="6" t="s">
        <v>22</v>
      </c>
      <c r="C600" s="7" t="s">
        <v>30</v>
      </c>
      <c r="D600" s="7" t="s">
        <v>35</v>
      </c>
      <c r="E600" s="6">
        <v>3997.5</v>
      </c>
      <c r="F600" s="7">
        <v>120</v>
      </c>
      <c r="G600" s="7">
        <v>15</v>
      </c>
      <c r="H600" s="7">
        <f t="shared" si="39"/>
        <v>59962.5</v>
      </c>
      <c r="I600" s="7">
        <f t="shared" si="36"/>
        <v>8994.375</v>
      </c>
      <c r="J600" s="7">
        <f t="shared" si="37"/>
        <v>50968.125</v>
      </c>
      <c r="K600" s="7">
        <v>39975</v>
      </c>
      <c r="L600" s="12">
        <f t="shared" si="38"/>
        <v>10993.125</v>
      </c>
      <c r="M600" s="8">
        <v>41640</v>
      </c>
      <c r="N600" s="9"/>
      <c r="O600" s="7"/>
      <c r="P600" s="10"/>
    </row>
    <row r="601" spans="1:16" ht="15.75" customHeight="1" x14ac:dyDescent="0.3">
      <c r="A601" s="11" t="s">
        <v>16</v>
      </c>
      <c r="B601" s="11" t="s">
        <v>17</v>
      </c>
      <c r="C601" s="12" t="s">
        <v>30</v>
      </c>
      <c r="D601" s="12" t="s">
        <v>35</v>
      </c>
      <c r="E601" s="11">
        <v>2632</v>
      </c>
      <c r="F601" s="12">
        <v>120</v>
      </c>
      <c r="G601" s="12">
        <v>350</v>
      </c>
      <c r="H601" s="7">
        <f t="shared" si="39"/>
        <v>921200</v>
      </c>
      <c r="I601" s="7">
        <f t="shared" si="36"/>
        <v>138180</v>
      </c>
      <c r="J601" s="7">
        <f t="shared" si="37"/>
        <v>783020</v>
      </c>
      <c r="K601" s="12">
        <v>684320</v>
      </c>
      <c r="L601" s="12">
        <f t="shared" si="38"/>
        <v>98700</v>
      </c>
      <c r="M601" s="13">
        <v>41791</v>
      </c>
      <c r="N601" s="14"/>
      <c r="O601" s="12"/>
      <c r="P601" s="15"/>
    </row>
    <row r="602" spans="1:16" ht="15.75" customHeight="1" x14ac:dyDescent="0.3">
      <c r="A602" s="6" t="s">
        <v>16</v>
      </c>
      <c r="B602" s="6" t="s">
        <v>22</v>
      </c>
      <c r="C602" s="7" t="s">
        <v>30</v>
      </c>
      <c r="D602" s="7" t="s">
        <v>35</v>
      </c>
      <c r="E602" s="6">
        <v>1190</v>
      </c>
      <c r="F602" s="7">
        <v>120</v>
      </c>
      <c r="G602" s="7">
        <v>7</v>
      </c>
      <c r="H602" s="7">
        <f t="shared" si="39"/>
        <v>8330</v>
      </c>
      <c r="I602" s="7">
        <f t="shared" si="36"/>
        <v>1249.5</v>
      </c>
      <c r="J602" s="7">
        <f t="shared" si="37"/>
        <v>7080.5</v>
      </c>
      <c r="K602" s="7">
        <v>5950</v>
      </c>
      <c r="L602" s="12">
        <f t="shared" si="38"/>
        <v>1130.5</v>
      </c>
      <c r="M602" s="8">
        <v>41791</v>
      </c>
      <c r="N602" s="9"/>
      <c r="O602" s="7"/>
      <c r="P602" s="10"/>
    </row>
    <row r="603" spans="1:16" ht="15.75" customHeight="1" x14ac:dyDescent="0.3">
      <c r="A603" s="11" t="s">
        <v>25</v>
      </c>
      <c r="B603" s="11" t="s">
        <v>23</v>
      </c>
      <c r="C603" s="12" t="s">
        <v>30</v>
      </c>
      <c r="D603" s="12" t="s">
        <v>35</v>
      </c>
      <c r="E603" s="11">
        <v>604</v>
      </c>
      <c r="F603" s="12">
        <v>120</v>
      </c>
      <c r="G603" s="12">
        <v>12</v>
      </c>
      <c r="H603" s="7">
        <f t="shared" si="39"/>
        <v>7248</v>
      </c>
      <c r="I603" s="7">
        <f t="shared" si="36"/>
        <v>1087.2</v>
      </c>
      <c r="J603" s="7">
        <f t="shared" si="37"/>
        <v>6160.8</v>
      </c>
      <c r="K603" s="12">
        <v>1812</v>
      </c>
      <c r="L603" s="12">
        <f t="shared" si="38"/>
        <v>4348.8</v>
      </c>
      <c r="M603" s="13">
        <v>41791</v>
      </c>
      <c r="N603" s="14"/>
      <c r="O603" s="12"/>
      <c r="P603" s="15"/>
    </row>
    <row r="604" spans="1:16" ht="15.75" customHeight="1" x14ac:dyDescent="0.3">
      <c r="A604" s="6" t="s">
        <v>21</v>
      </c>
      <c r="B604" s="6" t="s">
        <v>20</v>
      </c>
      <c r="C604" s="7" t="s">
        <v>30</v>
      </c>
      <c r="D604" s="7" t="s">
        <v>35</v>
      </c>
      <c r="E604" s="6">
        <v>660</v>
      </c>
      <c r="F604" s="7">
        <v>120</v>
      </c>
      <c r="G604" s="7">
        <v>15</v>
      </c>
      <c r="H604" s="7">
        <f t="shared" si="39"/>
        <v>9900</v>
      </c>
      <c r="I604" s="7">
        <f t="shared" si="36"/>
        <v>1485</v>
      </c>
      <c r="J604" s="7">
        <f t="shared" si="37"/>
        <v>8415</v>
      </c>
      <c r="K604" s="7">
        <v>6600</v>
      </c>
      <c r="L604" s="12">
        <f t="shared" si="38"/>
        <v>1815</v>
      </c>
      <c r="M604" s="8">
        <v>41518</v>
      </c>
      <c r="N604" s="9"/>
      <c r="O604" s="7"/>
      <c r="P604" s="10"/>
    </row>
    <row r="605" spans="1:16" ht="15.75" customHeight="1" x14ac:dyDescent="0.3">
      <c r="A605" s="11" t="s">
        <v>25</v>
      </c>
      <c r="B605" s="11" t="s">
        <v>23</v>
      </c>
      <c r="C605" s="12" t="s">
        <v>30</v>
      </c>
      <c r="D605" s="12" t="s">
        <v>35</v>
      </c>
      <c r="E605" s="11">
        <v>410</v>
      </c>
      <c r="F605" s="12">
        <v>120</v>
      </c>
      <c r="G605" s="12">
        <v>12</v>
      </c>
      <c r="H605" s="7">
        <f t="shared" si="39"/>
        <v>4920</v>
      </c>
      <c r="I605" s="7">
        <f t="shared" si="36"/>
        <v>738</v>
      </c>
      <c r="J605" s="7">
        <f t="shared" si="37"/>
        <v>4182</v>
      </c>
      <c r="K605" s="12">
        <v>1230</v>
      </c>
      <c r="L605" s="12">
        <f t="shared" si="38"/>
        <v>2952</v>
      </c>
      <c r="M605" s="13">
        <v>41913</v>
      </c>
      <c r="N605" s="14"/>
      <c r="O605" s="12"/>
      <c r="P605" s="15"/>
    </row>
    <row r="606" spans="1:16" ht="15.75" customHeight="1" x14ac:dyDescent="0.3">
      <c r="A606" s="6" t="s">
        <v>27</v>
      </c>
      <c r="B606" s="6" t="s">
        <v>23</v>
      </c>
      <c r="C606" s="7" t="s">
        <v>30</v>
      </c>
      <c r="D606" s="7" t="s">
        <v>35</v>
      </c>
      <c r="E606" s="6">
        <v>2605</v>
      </c>
      <c r="F606" s="7">
        <v>120</v>
      </c>
      <c r="G606" s="7">
        <v>300</v>
      </c>
      <c r="H606" s="7">
        <f t="shared" si="39"/>
        <v>781500</v>
      </c>
      <c r="I606" s="7">
        <f t="shared" si="36"/>
        <v>117225</v>
      </c>
      <c r="J606" s="7">
        <f t="shared" si="37"/>
        <v>664275</v>
      </c>
      <c r="K606" s="7">
        <v>651250</v>
      </c>
      <c r="L606" s="12">
        <f t="shared" si="38"/>
        <v>13025</v>
      </c>
      <c r="M606" s="8">
        <v>41579</v>
      </c>
      <c r="N606" s="9"/>
      <c r="O606" s="7"/>
      <c r="P606" s="10"/>
    </row>
    <row r="607" spans="1:16" ht="15.75" customHeight="1" x14ac:dyDescent="0.3">
      <c r="A607" s="11" t="s">
        <v>25</v>
      </c>
      <c r="B607" s="11" t="s">
        <v>20</v>
      </c>
      <c r="C607" s="12" t="s">
        <v>30</v>
      </c>
      <c r="D607" s="12" t="s">
        <v>35</v>
      </c>
      <c r="E607" s="11">
        <v>1013</v>
      </c>
      <c r="F607" s="12">
        <v>120</v>
      </c>
      <c r="G607" s="12">
        <v>12</v>
      </c>
      <c r="H607" s="7">
        <f t="shared" si="39"/>
        <v>12156</v>
      </c>
      <c r="I607" s="7">
        <f t="shared" si="36"/>
        <v>1823.3999999999999</v>
      </c>
      <c r="J607" s="7">
        <f t="shared" si="37"/>
        <v>10332.6</v>
      </c>
      <c r="K607" s="12">
        <v>3039</v>
      </c>
      <c r="L607" s="12">
        <f t="shared" si="38"/>
        <v>7293.6</v>
      </c>
      <c r="M607" s="13">
        <v>41974</v>
      </c>
      <c r="N607" s="14"/>
      <c r="O607" s="12"/>
      <c r="P607" s="15"/>
    </row>
    <row r="608" spans="1:16" ht="15.75" customHeight="1" x14ac:dyDescent="0.3">
      <c r="A608" s="6" t="s">
        <v>26</v>
      </c>
      <c r="B608" s="6" t="s">
        <v>17</v>
      </c>
      <c r="C608" s="7" t="s">
        <v>31</v>
      </c>
      <c r="D608" s="7" t="s">
        <v>35</v>
      </c>
      <c r="E608" s="6">
        <v>1583</v>
      </c>
      <c r="F608" s="7">
        <v>250</v>
      </c>
      <c r="G608" s="7">
        <v>125</v>
      </c>
      <c r="H608" s="7">
        <f t="shared" si="39"/>
        <v>197875</v>
      </c>
      <c r="I608" s="7">
        <f t="shared" si="36"/>
        <v>29681.25</v>
      </c>
      <c r="J608" s="7">
        <f t="shared" si="37"/>
        <v>168193.75</v>
      </c>
      <c r="K608" s="7">
        <v>189960</v>
      </c>
      <c r="L608" s="12">
        <f t="shared" si="38"/>
        <v>-21766.25</v>
      </c>
      <c r="M608" s="8">
        <v>41791</v>
      </c>
      <c r="N608" s="9"/>
      <c r="O608" s="7"/>
      <c r="P608" s="10"/>
    </row>
    <row r="609" spans="1:16" ht="15.75" customHeight="1" x14ac:dyDescent="0.3">
      <c r="A609" s="11" t="s">
        <v>21</v>
      </c>
      <c r="B609" s="11" t="s">
        <v>17</v>
      </c>
      <c r="C609" s="12" t="s">
        <v>31</v>
      </c>
      <c r="D609" s="12" t="s">
        <v>35</v>
      </c>
      <c r="E609" s="11">
        <v>1565</v>
      </c>
      <c r="F609" s="12">
        <v>250</v>
      </c>
      <c r="G609" s="12">
        <v>15</v>
      </c>
      <c r="H609" s="7">
        <f t="shared" si="39"/>
        <v>23475</v>
      </c>
      <c r="I609" s="7">
        <f t="shared" si="36"/>
        <v>3521.25</v>
      </c>
      <c r="J609" s="7">
        <f t="shared" si="37"/>
        <v>19953.75</v>
      </c>
      <c r="K609" s="12">
        <v>15650</v>
      </c>
      <c r="L609" s="12">
        <f t="shared" si="38"/>
        <v>4303.75</v>
      </c>
      <c r="M609" s="13">
        <v>41913</v>
      </c>
      <c r="N609" s="14"/>
      <c r="O609" s="12"/>
      <c r="P609" s="15"/>
    </row>
    <row r="610" spans="1:16" ht="15.75" customHeight="1" x14ac:dyDescent="0.3">
      <c r="A610" s="6" t="s">
        <v>26</v>
      </c>
      <c r="B610" s="6" t="s">
        <v>17</v>
      </c>
      <c r="C610" s="7" t="s">
        <v>32</v>
      </c>
      <c r="D610" s="7" t="s">
        <v>35</v>
      </c>
      <c r="E610" s="6">
        <v>1659</v>
      </c>
      <c r="F610" s="7">
        <v>260</v>
      </c>
      <c r="G610" s="7">
        <v>125</v>
      </c>
      <c r="H610" s="7">
        <f t="shared" si="39"/>
        <v>207375</v>
      </c>
      <c r="I610" s="7">
        <f t="shared" si="36"/>
        <v>31106.25</v>
      </c>
      <c r="J610" s="7">
        <f t="shared" si="37"/>
        <v>176268.75</v>
      </c>
      <c r="K610" s="7">
        <v>199080</v>
      </c>
      <c r="L610" s="12">
        <f t="shared" si="38"/>
        <v>-22811.25</v>
      </c>
      <c r="M610" s="8">
        <v>41640</v>
      </c>
      <c r="N610" s="9"/>
      <c r="O610" s="7"/>
      <c r="P610" s="10"/>
    </row>
    <row r="611" spans="1:16" ht="15.75" customHeight="1" x14ac:dyDescent="0.3">
      <c r="A611" s="11" t="s">
        <v>16</v>
      </c>
      <c r="B611" s="11" t="s">
        <v>22</v>
      </c>
      <c r="C611" s="12" t="s">
        <v>32</v>
      </c>
      <c r="D611" s="12" t="s">
        <v>35</v>
      </c>
      <c r="E611" s="11">
        <v>1190</v>
      </c>
      <c r="F611" s="12">
        <v>260</v>
      </c>
      <c r="G611" s="12">
        <v>7</v>
      </c>
      <c r="H611" s="7">
        <f t="shared" si="39"/>
        <v>8330</v>
      </c>
      <c r="I611" s="7">
        <f t="shared" si="36"/>
        <v>1249.5</v>
      </c>
      <c r="J611" s="7">
        <f t="shared" si="37"/>
        <v>7080.5</v>
      </c>
      <c r="K611" s="12">
        <v>5950</v>
      </c>
      <c r="L611" s="12">
        <f t="shared" si="38"/>
        <v>1130.5</v>
      </c>
      <c r="M611" s="13">
        <v>41791</v>
      </c>
      <c r="N611" s="14"/>
      <c r="O611" s="12"/>
      <c r="P611" s="15"/>
    </row>
    <row r="612" spans="1:16" ht="15.75" customHeight="1" x14ac:dyDescent="0.3">
      <c r="A612" s="6" t="s">
        <v>25</v>
      </c>
      <c r="B612" s="6" t="s">
        <v>23</v>
      </c>
      <c r="C612" s="7" t="s">
        <v>32</v>
      </c>
      <c r="D612" s="7" t="s">
        <v>35</v>
      </c>
      <c r="E612" s="6">
        <v>410</v>
      </c>
      <c r="F612" s="7">
        <v>260</v>
      </c>
      <c r="G612" s="7">
        <v>12</v>
      </c>
      <c r="H612" s="7">
        <f t="shared" si="39"/>
        <v>4920</v>
      </c>
      <c r="I612" s="7">
        <f t="shared" si="36"/>
        <v>738</v>
      </c>
      <c r="J612" s="7">
        <f t="shared" si="37"/>
        <v>4182</v>
      </c>
      <c r="K612" s="7">
        <v>1230</v>
      </c>
      <c r="L612" s="12">
        <f t="shared" si="38"/>
        <v>2952</v>
      </c>
      <c r="M612" s="8">
        <v>41913</v>
      </c>
      <c r="N612" s="9"/>
      <c r="O612" s="7"/>
      <c r="P612" s="10"/>
    </row>
    <row r="613" spans="1:16" ht="15.75" customHeight="1" x14ac:dyDescent="0.3">
      <c r="A613" s="11" t="s">
        <v>25</v>
      </c>
      <c r="B613" s="11" t="s">
        <v>20</v>
      </c>
      <c r="C613" s="12" t="s">
        <v>32</v>
      </c>
      <c r="D613" s="12" t="s">
        <v>35</v>
      </c>
      <c r="E613" s="11">
        <v>1770</v>
      </c>
      <c r="F613" s="12">
        <v>260</v>
      </c>
      <c r="G613" s="12">
        <v>12</v>
      </c>
      <c r="H613" s="7">
        <f t="shared" si="39"/>
        <v>21240</v>
      </c>
      <c r="I613" s="7">
        <f t="shared" si="36"/>
        <v>3186</v>
      </c>
      <c r="J613" s="7">
        <f t="shared" si="37"/>
        <v>18054</v>
      </c>
      <c r="K613" s="12">
        <v>5310</v>
      </c>
      <c r="L613" s="12">
        <f t="shared" si="38"/>
        <v>12744</v>
      </c>
      <c r="M613" s="13">
        <v>41609</v>
      </c>
      <c r="N613" s="14"/>
      <c r="O613" s="12"/>
      <c r="P613" s="15"/>
    </row>
    <row r="614" spans="1:16" ht="15.75" customHeight="1" x14ac:dyDescent="0.3">
      <c r="A614" s="6" t="s">
        <v>16</v>
      </c>
      <c r="B614" s="6" t="s">
        <v>23</v>
      </c>
      <c r="C614" s="7" t="s">
        <v>18</v>
      </c>
      <c r="D614" s="7" t="s">
        <v>35</v>
      </c>
      <c r="E614" s="6">
        <v>2579</v>
      </c>
      <c r="F614" s="7">
        <v>3</v>
      </c>
      <c r="G614" s="7">
        <v>20</v>
      </c>
      <c r="H614" s="7">
        <f t="shared" si="39"/>
        <v>51580</v>
      </c>
      <c r="I614" s="7">
        <f t="shared" si="36"/>
        <v>7737</v>
      </c>
      <c r="J614" s="7">
        <f t="shared" si="37"/>
        <v>43843</v>
      </c>
      <c r="K614" s="7">
        <v>25790</v>
      </c>
      <c r="L614" s="12">
        <f t="shared" si="38"/>
        <v>18053</v>
      </c>
      <c r="M614" s="8">
        <v>41730</v>
      </c>
      <c r="N614" s="9"/>
      <c r="O614" s="7"/>
      <c r="P614" s="10"/>
    </row>
    <row r="615" spans="1:16" ht="15.75" customHeight="1" x14ac:dyDescent="0.3">
      <c r="A615" s="11" t="s">
        <v>16</v>
      </c>
      <c r="B615" s="11" t="s">
        <v>28</v>
      </c>
      <c r="C615" s="12" t="s">
        <v>18</v>
      </c>
      <c r="D615" s="12" t="s">
        <v>35</v>
      </c>
      <c r="E615" s="11">
        <v>1743</v>
      </c>
      <c r="F615" s="12">
        <v>3</v>
      </c>
      <c r="G615" s="12">
        <v>20</v>
      </c>
      <c r="H615" s="7">
        <f t="shared" si="39"/>
        <v>34860</v>
      </c>
      <c r="I615" s="7">
        <f t="shared" si="36"/>
        <v>5229</v>
      </c>
      <c r="J615" s="7">
        <f t="shared" si="37"/>
        <v>29631</v>
      </c>
      <c r="K615" s="12">
        <v>17430</v>
      </c>
      <c r="L615" s="12">
        <f t="shared" si="38"/>
        <v>12201</v>
      </c>
      <c r="M615" s="13">
        <v>41760</v>
      </c>
      <c r="N615" s="14"/>
      <c r="O615" s="12"/>
      <c r="P615" s="15"/>
    </row>
    <row r="616" spans="1:16" ht="15.75" customHeight="1" x14ac:dyDescent="0.3">
      <c r="A616" s="6" t="s">
        <v>16</v>
      </c>
      <c r="B616" s="6" t="s">
        <v>28</v>
      </c>
      <c r="C616" s="7" t="s">
        <v>18</v>
      </c>
      <c r="D616" s="7" t="s">
        <v>35</v>
      </c>
      <c r="E616" s="6">
        <v>2996</v>
      </c>
      <c r="F616" s="7">
        <v>3</v>
      </c>
      <c r="G616" s="7">
        <v>7</v>
      </c>
      <c r="H616" s="7">
        <f t="shared" si="39"/>
        <v>20972</v>
      </c>
      <c r="I616" s="7">
        <f t="shared" si="36"/>
        <v>3145.7999999999997</v>
      </c>
      <c r="J616" s="7">
        <f t="shared" si="37"/>
        <v>17826.2</v>
      </c>
      <c r="K616" s="7">
        <v>14980</v>
      </c>
      <c r="L616" s="12">
        <f t="shared" si="38"/>
        <v>2846.2000000000007</v>
      </c>
      <c r="M616" s="8">
        <v>41548</v>
      </c>
      <c r="N616" s="9"/>
      <c r="O616" s="7"/>
      <c r="P616" s="10"/>
    </row>
    <row r="617" spans="1:16" ht="15.75" customHeight="1" x14ac:dyDescent="0.3">
      <c r="A617" s="11" t="s">
        <v>16</v>
      </c>
      <c r="B617" s="11" t="s">
        <v>20</v>
      </c>
      <c r="C617" s="12" t="s">
        <v>18</v>
      </c>
      <c r="D617" s="12" t="s">
        <v>35</v>
      </c>
      <c r="E617" s="11">
        <v>280</v>
      </c>
      <c r="F617" s="12">
        <v>3</v>
      </c>
      <c r="G617" s="12">
        <v>7</v>
      </c>
      <c r="H617" s="7">
        <f t="shared" si="39"/>
        <v>1960</v>
      </c>
      <c r="I617" s="7">
        <f t="shared" si="36"/>
        <v>294</v>
      </c>
      <c r="J617" s="7">
        <f t="shared" si="37"/>
        <v>1666</v>
      </c>
      <c r="K617" s="12">
        <v>1400</v>
      </c>
      <c r="L617" s="12">
        <f t="shared" si="38"/>
        <v>266</v>
      </c>
      <c r="M617" s="13">
        <v>41974</v>
      </c>
      <c r="N617" s="14"/>
      <c r="O617" s="12"/>
      <c r="P617" s="15"/>
    </row>
    <row r="618" spans="1:16" ht="15.75" customHeight="1" x14ac:dyDescent="0.3">
      <c r="A618" s="6" t="s">
        <v>16</v>
      </c>
      <c r="B618" s="6" t="s">
        <v>22</v>
      </c>
      <c r="C618" s="7" t="s">
        <v>24</v>
      </c>
      <c r="D618" s="7" t="s">
        <v>35</v>
      </c>
      <c r="E618" s="6">
        <v>293</v>
      </c>
      <c r="F618" s="7">
        <v>5</v>
      </c>
      <c r="G618" s="7">
        <v>7</v>
      </c>
      <c r="H618" s="7">
        <f t="shared" si="39"/>
        <v>2051</v>
      </c>
      <c r="I618" s="7">
        <f t="shared" si="36"/>
        <v>307.64999999999998</v>
      </c>
      <c r="J618" s="7">
        <f t="shared" si="37"/>
        <v>1743.35</v>
      </c>
      <c r="K618" s="7">
        <v>1465</v>
      </c>
      <c r="L618" s="12">
        <f t="shared" si="38"/>
        <v>278.34999999999991</v>
      </c>
      <c r="M618" s="8">
        <v>41671</v>
      </c>
      <c r="N618" s="9"/>
      <c r="O618" s="7"/>
      <c r="P618" s="10"/>
    </row>
    <row r="619" spans="1:16" ht="15.75" customHeight="1" x14ac:dyDescent="0.3">
      <c r="A619" s="11" t="s">
        <v>16</v>
      </c>
      <c r="B619" s="11" t="s">
        <v>28</v>
      </c>
      <c r="C619" s="12" t="s">
        <v>24</v>
      </c>
      <c r="D619" s="12" t="s">
        <v>35</v>
      </c>
      <c r="E619" s="11">
        <v>2996</v>
      </c>
      <c r="F619" s="12">
        <v>5</v>
      </c>
      <c r="G619" s="12">
        <v>7</v>
      </c>
      <c r="H619" s="7">
        <f t="shared" si="39"/>
        <v>20972</v>
      </c>
      <c r="I619" s="7">
        <f t="shared" si="36"/>
        <v>3145.7999999999997</v>
      </c>
      <c r="J619" s="7">
        <f t="shared" si="37"/>
        <v>17826.2</v>
      </c>
      <c r="K619" s="12">
        <v>14980</v>
      </c>
      <c r="L619" s="12">
        <f t="shared" si="38"/>
        <v>2846.2000000000007</v>
      </c>
      <c r="M619" s="13">
        <v>41548</v>
      </c>
      <c r="N619" s="14"/>
      <c r="O619" s="12"/>
      <c r="P619" s="15"/>
    </row>
    <row r="620" spans="1:16" ht="15.75" customHeight="1" x14ac:dyDescent="0.3">
      <c r="A620" s="6" t="s">
        <v>21</v>
      </c>
      <c r="B620" s="6" t="s">
        <v>20</v>
      </c>
      <c r="C620" s="7" t="s">
        <v>29</v>
      </c>
      <c r="D620" s="7" t="s">
        <v>35</v>
      </c>
      <c r="E620" s="6">
        <v>278</v>
      </c>
      <c r="F620" s="7">
        <v>10</v>
      </c>
      <c r="G620" s="7">
        <v>15</v>
      </c>
      <c r="H620" s="7">
        <f t="shared" si="39"/>
        <v>4170</v>
      </c>
      <c r="I620" s="7">
        <f t="shared" si="36"/>
        <v>625.5</v>
      </c>
      <c r="J620" s="7">
        <f t="shared" si="37"/>
        <v>3544.5</v>
      </c>
      <c r="K620" s="7">
        <v>2780</v>
      </c>
      <c r="L620" s="12">
        <f t="shared" si="38"/>
        <v>764.5</v>
      </c>
      <c r="M620" s="8">
        <v>41671</v>
      </c>
      <c r="N620" s="9"/>
      <c r="O620" s="7"/>
      <c r="P620" s="10"/>
    </row>
    <row r="621" spans="1:16" ht="15.75" customHeight="1" x14ac:dyDescent="0.3">
      <c r="A621" s="11" t="s">
        <v>16</v>
      </c>
      <c r="B621" s="11" t="s">
        <v>17</v>
      </c>
      <c r="C621" s="12" t="s">
        <v>29</v>
      </c>
      <c r="D621" s="12" t="s">
        <v>35</v>
      </c>
      <c r="E621" s="11">
        <v>2428</v>
      </c>
      <c r="F621" s="12">
        <v>10</v>
      </c>
      <c r="G621" s="12">
        <v>20</v>
      </c>
      <c r="H621" s="7">
        <f t="shared" si="39"/>
        <v>48560</v>
      </c>
      <c r="I621" s="7">
        <f t="shared" si="36"/>
        <v>7284</v>
      </c>
      <c r="J621" s="7">
        <f t="shared" si="37"/>
        <v>41276</v>
      </c>
      <c r="K621" s="12">
        <v>24280</v>
      </c>
      <c r="L621" s="12">
        <f t="shared" si="38"/>
        <v>16996</v>
      </c>
      <c r="M621" s="13">
        <v>41699</v>
      </c>
      <c r="N621" s="14"/>
      <c r="O621" s="12"/>
      <c r="P621" s="15"/>
    </row>
    <row r="622" spans="1:16" ht="15.75" customHeight="1" x14ac:dyDescent="0.3">
      <c r="A622" s="6" t="s">
        <v>21</v>
      </c>
      <c r="B622" s="6" t="s">
        <v>28</v>
      </c>
      <c r="C622" s="7" t="s">
        <v>29</v>
      </c>
      <c r="D622" s="7" t="s">
        <v>35</v>
      </c>
      <c r="E622" s="6">
        <v>1767</v>
      </c>
      <c r="F622" s="7">
        <v>10</v>
      </c>
      <c r="G622" s="7">
        <v>15</v>
      </c>
      <c r="H622" s="7">
        <f t="shared" si="39"/>
        <v>26505</v>
      </c>
      <c r="I622" s="7">
        <f t="shared" si="36"/>
        <v>3975.75</v>
      </c>
      <c r="J622" s="7">
        <f t="shared" si="37"/>
        <v>22529.25</v>
      </c>
      <c r="K622" s="7">
        <v>17670</v>
      </c>
      <c r="L622" s="12">
        <f t="shared" si="38"/>
        <v>4859.25</v>
      </c>
      <c r="M622" s="8">
        <v>41883</v>
      </c>
      <c r="N622" s="9"/>
      <c r="O622" s="7"/>
      <c r="P622" s="10"/>
    </row>
    <row r="623" spans="1:16" ht="15.75" customHeight="1" x14ac:dyDescent="0.3">
      <c r="A623" s="11" t="s">
        <v>25</v>
      </c>
      <c r="B623" s="11" t="s">
        <v>22</v>
      </c>
      <c r="C623" s="12" t="s">
        <v>29</v>
      </c>
      <c r="D623" s="12" t="s">
        <v>35</v>
      </c>
      <c r="E623" s="11">
        <v>1393</v>
      </c>
      <c r="F623" s="12">
        <v>10</v>
      </c>
      <c r="G623" s="12">
        <v>12</v>
      </c>
      <c r="H623" s="7">
        <f t="shared" si="39"/>
        <v>16716</v>
      </c>
      <c r="I623" s="7">
        <f t="shared" si="36"/>
        <v>2507.4</v>
      </c>
      <c r="J623" s="7">
        <f t="shared" si="37"/>
        <v>14208.6</v>
      </c>
      <c r="K623" s="12">
        <v>4179</v>
      </c>
      <c r="L623" s="12">
        <f t="shared" si="38"/>
        <v>10029.6</v>
      </c>
      <c r="M623" s="13">
        <v>41913</v>
      </c>
      <c r="N623" s="14"/>
      <c r="O623" s="12"/>
      <c r="P623" s="15"/>
    </row>
    <row r="624" spans="1:16" ht="15.75" customHeight="1" x14ac:dyDescent="0.3">
      <c r="A624" s="6" t="s">
        <v>16</v>
      </c>
      <c r="B624" s="6" t="s">
        <v>20</v>
      </c>
      <c r="C624" s="7" t="s">
        <v>31</v>
      </c>
      <c r="D624" s="7" t="s">
        <v>35</v>
      </c>
      <c r="E624" s="6">
        <v>280</v>
      </c>
      <c r="F624" s="7">
        <v>250</v>
      </c>
      <c r="G624" s="7">
        <v>7</v>
      </c>
      <c r="H624" s="7">
        <f t="shared" si="39"/>
        <v>1960</v>
      </c>
      <c r="I624" s="7">
        <f t="shared" si="36"/>
        <v>294</v>
      </c>
      <c r="J624" s="7">
        <f t="shared" si="37"/>
        <v>1666</v>
      </c>
      <c r="K624" s="7">
        <v>1400</v>
      </c>
      <c r="L624" s="12">
        <f t="shared" si="38"/>
        <v>266</v>
      </c>
      <c r="M624" s="8">
        <v>41974</v>
      </c>
      <c r="N624" s="9"/>
      <c r="O624" s="7"/>
      <c r="P624" s="10"/>
    </row>
    <row r="625" spans="1:16" ht="15.75" customHeight="1" x14ac:dyDescent="0.3">
      <c r="A625" s="11" t="s">
        <v>25</v>
      </c>
      <c r="B625" s="11" t="s">
        <v>22</v>
      </c>
      <c r="C625" s="12" t="s">
        <v>32</v>
      </c>
      <c r="D625" s="12" t="s">
        <v>35</v>
      </c>
      <c r="E625" s="11">
        <v>1393</v>
      </c>
      <c r="F625" s="12">
        <v>260</v>
      </c>
      <c r="G625" s="12">
        <v>12</v>
      </c>
      <c r="H625" s="7">
        <f t="shared" si="39"/>
        <v>16716</v>
      </c>
      <c r="I625" s="7">
        <f t="shared" si="36"/>
        <v>2507.4</v>
      </c>
      <c r="J625" s="7">
        <f t="shared" si="37"/>
        <v>14208.6</v>
      </c>
      <c r="K625" s="12">
        <v>4179</v>
      </c>
      <c r="L625" s="12">
        <f t="shared" si="38"/>
        <v>10029.6</v>
      </c>
      <c r="M625" s="13">
        <v>41913</v>
      </c>
      <c r="N625" s="14"/>
      <c r="O625" s="12"/>
      <c r="P625" s="15"/>
    </row>
    <row r="626" spans="1:16" ht="15.75" customHeight="1" x14ac:dyDescent="0.3">
      <c r="A626" s="6" t="s">
        <v>25</v>
      </c>
      <c r="B626" s="6" t="s">
        <v>28</v>
      </c>
      <c r="C626" s="7" t="s">
        <v>32</v>
      </c>
      <c r="D626" s="7" t="s">
        <v>35</v>
      </c>
      <c r="E626" s="6">
        <v>2015</v>
      </c>
      <c r="F626" s="7">
        <v>260</v>
      </c>
      <c r="G626" s="7">
        <v>12</v>
      </c>
      <c r="H626" s="7">
        <f t="shared" si="39"/>
        <v>24180</v>
      </c>
      <c r="I626" s="7">
        <f t="shared" si="36"/>
        <v>3627</v>
      </c>
      <c r="J626" s="7">
        <f t="shared" si="37"/>
        <v>20553</v>
      </c>
      <c r="K626" s="7">
        <v>6045</v>
      </c>
      <c r="L626" s="12">
        <f t="shared" si="38"/>
        <v>14508</v>
      </c>
      <c r="M626" s="8">
        <v>41609</v>
      </c>
      <c r="N626" s="9"/>
      <c r="O626" s="7"/>
      <c r="P626" s="10"/>
    </row>
    <row r="627" spans="1:16" ht="15.75" customHeight="1" x14ac:dyDescent="0.3">
      <c r="A627" s="11" t="s">
        <v>27</v>
      </c>
      <c r="B627" s="11" t="s">
        <v>23</v>
      </c>
      <c r="C627" s="12" t="s">
        <v>18</v>
      </c>
      <c r="D627" s="12" t="s">
        <v>35</v>
      </c>
      <c r="E627" s="11">
        <v>801</v>
      </c>
      <c r="F627" s="12">
        <v>3</v>
      </c>
      <c r="G627" s="12">
        <v>300</v>
      </c>
      <c r="H627" s="7">
        <f t="shared" si="39"/>
        <v>240300</v>
      </c>
      <c r="I627" s="7">
        <f t="shared" si="36"/>
        <v>36045</v>
      </c>
      <c r="J627" s="7">
        <f t="shared" si="37"/>
        <v>204255</v>
      </c>
      <c r="K627" s="12">
        <v>200250</v>
      </c>
      <c r="L627" s="12">
        <f t="shared" si="38"/>
        <v>4005</v>
      </c>
      <c r="M627" s="13">
        <v>41821</v>
      </c>
      <c r="N627" s="14"/>
      <c r="O627" s="12"/>
      <c r="P627" s="15"/>
    </row>
    <row r="628" spans="1:16" ht="15.75" customHeight="1" x14ac:dyDescent="0.3">
      <c r="A628" s="6" t="s">
        <v>26</v>
      </c>
      <c r="B628" s="6" t="s">
        <v>22</v>
      </c>
      <c r="C628" s="7" t="s">
        <v>18</v>
      </c>
      <c r="D628" s="7" t="s">
        <v>35</v>
      </c>
      <c r="E628" s="6">
        <v>1023</v>
      </c>
      <c r="F628" s="7">
        <v>3</v>
      </c>
      <c r="G628" s="7">
        <v>125</v>
      </c>
      <c r="H628" s="7">
        <f t="shared" si="39"/>
        <v>127875</v>
      </c>
      <c r="I628" s="7">
        <f t="shared" si="36"/>
        <v>19181.25</v>
      </c>
      <c r="J628" s="7">
        <f t="shared" si="37"/>
        <v>108693.75</v>
      </c>
      <c r="K628" s="7">
        <v>122760</v>
      </c>
      <c r="L628" s="12">
        <f t="shared" si="38"/>
        <v>-14066.25</v>
      </c>
      <c r="M628" s="8">
        <v>41518</v>
      </c>
      <c r="N628" s="9"/>
      <c r="O628" s="7"/>
      <c r="P628" s="10"/>
    </row>
    <row r="629" spans="1:16" ht="15.75" customHeight="1" x14ac:dyDescent="0.3">
      <c r="A629" s="11" t="s">
        <v>27</v>
      </c>
      <c r="B629" s="11" t="s">
        <v>17</v>
      </c>
      <c r="C629" s="12" t="s">
        <v>18</v>
      </c>
      <c r="D629" s="12" t="s">
        <v>35</v>
      </c>
      <c r="E629" s="11">
        <v>1496</v>
      </c>
      <c r="F629" s="12">
        <v>3</v>
      </c>
      <c r="G629" s="12">
        <v>300</v>
      </c>
      <c r="H629" s="7">
        <f t="shared" si="39"/>
        <v>448800</v>
      </c>
      <c r="I629" s="7">
        <f t="shared" si="36"/>
        <v>67320</v>
      </c>
      <c r="J629" s="7">
        <f t="shared" si="37"/>
        <v>381480</v>
      </c>
      <c r="K629" s="12">
        <v>374000</v>
      </c>
      <c r="L629" s="12">
        <f t="shared" si="38"/>
        <v>7480</v>
      </c>
      <c r="M629" s="13">
        <v>41913</v>
      </c>
      <c r="N629" s="14"/>
      <c r="O629" s="12"/>
      <c r="P629" s="15"/>
    </row>
    <row r="630" spans="1:16" ht="15.75" customHeight="1" x14ac:dyDescent="0.3">
      <c r="A630" s="6" t="s">
        <v>27</v>
      </c>
      <c r="B630" s="6" t="s">
        <v>28</v>
      </c>
      <c r="C630" s="7" t="s">
        <v>18</v>
      </c>
      <c r="D630" s="7" t="s">
        <v>35</v>
      </c>
      <c r="E630" s="6">
        <v>1010</v>
      </c>
      <c r="F630" s="7">
        <v>3</v>
      </c>
      <c r="G630" s="7">
        <v>300</v>
      </c>
      <c r="H630" s="7">
        <f t="shared" si="39"/>
        <v>303000</v>
      </c>
      <c r="I630" s="7">
        <f t="shared" si="36"/>
        <v>45450</v>
      </c>
      <c r="J630" s="7">
        <f t="shared" si="37"/>
        <v>257550</v>
      </c>
      <c r="K630" s="7">
        <v>252500</v>
      </c>
      <c r="L630" s="12">
        <f t="shared" si="38"/>
        <v>5050</v>
      </c>
      <c r="M630" s="8">
        <v>41913</v>
      </c>
      <c r="N630" s="9"/>
      <c r="O630" s="7"/>
      <c r="P630" s="10"/>
    </row>
    <row r="631" spans="1:16" ht="15.75" customHeight="1" x14ac:dyDescent="0.3">
      <c r="A631" s="11" t="s">
        <v>21</v>
      </c>
      <c r="B631" s="11" t="s">
        <v>20</v>
      </c>
      <c r="C631" s="12" t="s">
        <v>18</v>
      </c>
      <c r="D631" s="12" t="s">
        <v>35</v>
      </c>
      <c r="E631" s="11">
        <v>1513</v>
      </c>
      <c r="F631" s="12">
        <v>3</v>
      </c>
      <c r="G631" s="12">
        <v>15</v>
      </c>
      <c r="H631" s="7">
        <f t="shared" si="39"/>
        <v>22695</v>
      </c>
      <c r="I631" s="7">
        <f t="shared" si="36"/>
        <v>3404.25</v>
      </c>
      <c r="J631" s="7">
        <f t="shared" si="37"/>
        <v>19290.75</v>
      </c>
      <c r="K631" s="12">
        <v>15130</v>
      </c>
      <c r="L631" s="12">
        <f t="shared" si="38"/>
        <v>4160.75</v>
      </c>
      <c r="M631" s="13">
        <v>41944</v>
      </c>
      <c r="N631" s="14"/>
      <c r="O631" s="12"/>
      <c r="P631" s="15"/>
    </row>
    <row r="632" spans="1:16" ht="15.75" customHeight="1" x14ac:dyDescent="0.3">
      <c r="A632" s="6" t="s">
        <v>21</v>
      </c>
      <c r="B632" s="6" t="s">
        <v>17</v>
      </c>
      <c r="C632" s="7" t="s">
        <v>18</v>
      </c>
      <c r="D632" s="7" t="s">
        <v>35</v>
      </c>
      <c r="E632" s="6">
        <v>2300</v>
      </c>
      <c r="F632" s="7">
        <v>3</v>
      </c>
      <c r="G632" s="7">
        <v>15</v>
      </c>
      <c r="H632" s="7">
        <f t="shared" si="39"/>
        <v>34500</v>
      </c>
      <c r="I632" s="7">
        <f t="shared" si="36"/>
        <v>5175</v>
      </c>
      <c r="J632" s="7">
        <f t="shared" si="37"/>
        <v>29325</v>
      </c>
      <c r="K632" s="7">
        <v>23000</v>
      </c>
      <c r="L632" s="12">
        <f t="shared" si="38"/>
        <v>6325</v>
      </c>
      <c r="M632" s="8">
        <v>41974</v>
      </c>
      <c r="N632" s="9"/>
      <c r="O632" s="7"/>
      <c r="P632" s="10"/>
    </row>
    <row r="633" spans="1:16" ht="15.75" customHeight="1" x14ac:dyDescent="0.3">
      <c r="A633" s="11" t="s">
        <v>26</v>
      </c>
      <c r="B633" s="11" t="s">
        <v>23</v>
      </c>
      <c r="C633" s="12" t="s">
        <v>18</v>
      </c>
      <c r="D633" s="12" t="s">
        <v>35</v>
      </c>
      <c r="E633" s="11">
        <v>2821</v>
      </c>
      <c r="F633" s="12">
        <v>3</v>
      </c>
      <c r="G633" s="12">
        <v>125</v>
      </c>
      <c r="H633" s="7">
        <f t="shared" si="39"/>
        <v>352625</v>
      </c>
      <c r="I633" s="7">
        <f t="shared" si="36"/>
        <v>52893.75</v>
      </c>
      <c r="J633" s="7">
        <f t="shared" si="37"/>
        <v>299731.25</v>
      </c>
      <c r="K633" s="12">
        <v>338520</v>
      </c>
      <c r="L633" s="12">
        <f t="shared" si="38"/>
        <v>-38788.75</v>
      </c>
      <c r="M633" s="13">
        <v>41609</v>
      </c>
      <c r="N633" s="14"/>
      <c r="O633" s="12"/>
      <c r="P633" s="15"/>
    </row>
    <row r="634" spans="1:16" ht="15.75" customHeight="1" x14ac:dyDescent="0.3">
      <c r="A634" s="6" t="s">
        <v>16</v>
      </c>
      <c r="B634" s="6" t="s">
        <v>17</v>
      </c>
      <c r="C634" s="7" t="s">
        <v>24</v>
      </c>
      <c r="D634" s="7" t="s">
        <v>35</v>
      </c>
      <c r="E634" s="6">
        <v>2227.5</v>
      </c>
      <c r="F634" s="7">
        <v>5</v>
      </c>
      <c r="G634" s="7">
        <v>350</v>
      </c>
      <c r="H634" s="7">
        <f t="shared" si="39"/>
        <v>779625</v>
      </c>
      <c r="I634" s="7">
        <f t="shared" si="36"/>
        <v>116943.75</v>
      </c>
      <c r="J634" s="7">
        <f t="shared" si="37"/>
        <v>662681.25</v>
      </c>
      <c r="K634" s="7">
        <v>579150</v>
      </c>
      <c r="L634" s="12">
        <f t="shared" si="38"/>
        <v>83531.25</v>
      </c>
      <c r="M634" s="8">
        <v>41640</v>
      </c>
      <c r="N634" s="9"/>
      <c r="O634" s="7"/>
      <c r="P634" s="10"/>
    </row>
    <row r="635" spans="1:16" ht="15.75" customHeight="1" x14ac:dyDescent="0.3">
      <c r="A635" s="11" t="s">
        <v>16</v>
      </c>
      <c r="B635" s="11" t="s">
        <v>20</v>
      </c>
      <c r="C635" s="12" t="s">
        <v>24</v>
      </c>
      <c r="D635" s="12" t="s">
        <v>35</v>
      </c>
      <c r="E635" s="11">
        <v>1199</v>
      </c>
      <c r="F635" s="12">
        <v>5</v>
      </c>
      <c r="G635" s="12">
        <v>350</v>
      </c>
      <c r="H635" s="7">
        <f t="shared" si="39"/>
        <v>419650</v>
      </c>
      <c r="I635" s="7">
        <f t="shared" si="36"/>
        <v>62947.5</v>
      </c>
      <c r="J635" s="7">
        <f t="shared" si="37"/>
        <v>356702.5</v>
      </c>
      <c r="K635" s="12">
        <v>311740</v>
      </c>
      <c r="L635" s="12">
        <f t="shared" si="38"/>
        <v>44962.5</v>
      </c>
      <c r="M635" s="13">
        <v>41730</v>
      </c>
      <c r="N635" s="14"/>
      <c r="O635" s="12"/>
      <c r="P635" s="15"/>
    </row>
    <row r="636" spans="1:16" ht="15.75" customHeight="1" x14ac:dyDescent="0.3">
      <c r="A636" s="6" t="s">
        <v>16</v>
      </c>
      <c r="B636" s="6" t="s">
        <v>17</v>
      </c>
      <c r="C636" s="7" t="s">
        <v>24</v>
      </c>
      <c r="D636" s="7" t="s">
        <v>35</v>
      </c>
      <c r="E636" s="6">
        <v>200</v>
      </c>
      <c r="F636" s="7">
        <v>5</v>
      </c>
      <c r="G636" s="7">
        <v>350</v>
      </c>
      <c r="H636" s="7">
        <f t="shared" si="39"/>
        <v>70000</v>
      </c>
      <c r="I636" s="7">
        <f t="shared" si="36"/>
        <v>10500</v>
      </c>
      <c r="J636" s="7">
        <f t="shared" si="37"/>
        <v>59500</v>
      </c>
      <c r="K636" s="7">
        <v>52000</v>
      </c>
      <c r="L636" s="12">
        <f t="shared" si="38"/>
        <v>7500</v>
      </c>
      <c r="M636" s="8">
        <v>41760</v>
      </c>
      <c r="N636" s="9"/>
      <c r="O636" s="7"/>
      <c r="P636" s="10"/>
    </row>
    <row r="637" spans="1:16" ht="15.75" customHeight="1" x14ac:dyDescent="0.3">
      <c r="A637" s="11" t="s">
        <v>16</v>
      </c>
      <c r="B637" s="11" t="s">
        <v>17</v>
      </c>
      <c r="C637" s="12" t="s">
        <v>24</v>
      </c>
      <c r="D637" s="12" t="s">
        <v>35</v>
      </c>
      <c r="E637" s="11">
        <v>388</v>
      </c>
      <c r="F637" s="12">
        <v>5</v>
      </c>
      <c r="G637" s="12">
        <v>7</v>
      </c>
      <c r="H637" s="7">
        <f t="shared" si="39"/>
        <v>2716</v>
      </c>
      <c r="I637" s="7">
        <f t="shared" si="36"/>
        <v>407.4</v>
      </c>
      <c r="J637" s="7">
        <f t="shared" si="37"/>
        <v>2308.6</v>
      </c>
      <c r="K637" s="12">
        <v>1940</v>
      </c>
      <c r="L637" s="12">
        <f t="shared" si="38"/>
        <v>368.59999999999991</v>
      </c>
      <c r="M637" s="13">
        <v>41883</v>
      </c>
      <c r="N637" s="14"/>
      <c r="O637" s="12"/>
      <c r="P637" s="15"/>
    </row>
    <row r="638" spans="1:16" ht="15.75" customHeight="1" x14ac:dyDescent="0.3">
      <c r="A638" s="6" t="s">
        <v>16</v>
      </c>
      <c r="B638" s="6" t="s">
        <v>23</v>
      </c>
      <c r="C638" s="7" t="s">
        <v>24</v>
      </c>
      <c r="D638" s="7" t="s">
        <v>35</v>
      </c>
      <c r="E638" s="6">
        <v>1727</v>
      </c>
      <c r="F638" s="7">
        <v>5</v>
      </c>
      <c r="G638" s="7">
        <v>7</v>
      </c>
      <c r="H638" s="7">
        <f t="shared" si="39"/>
        <v>12089</v>
      </c>
      <c r="I638" s="7">
        <f t="shared" si="36"/>
        <v>1813.35</v>
      </c>
      <c r="J638" s="7">
        <f t="shared" si="37"/>
        <v>10275.65</v>
      </c>
      <c r="K638" s="7">
        <v>8635</v>
      </c>
      <c r="L638" s="12">
        <f t="shared" si="38"/>
        <v>1640.6499999999996</v>
      </c>
      <c r="M638" s="8">
        <v>41548</v>
      </c>
      <c r="N638" s="9"/>
      <c r="O638" s="7"/>
      <c r="P638" s="10"/>
    </row>
    <row r="639" spans="1:16" ht="15.75" customHeight="1" x14ac:dyDescent="0.3">
      <c r="A639" s="11" t="s">
        <v>21</v>
      </c>
      <c r="B639" s="11" t="s">
        <v>17</v>
      </c>
      <c r="C639" s="12" t="s">
        <v>24</v>
      </c>
      <c r="D639" s="12" t="s">
        <v>35</v>
      </c>
      <c r="E639" s="11">
        <v>2300</v>
      </c>
      <c r="F639" s="12">
        <v>5</v>
      </c>
      <c r="G639" s="12">
        <v>15</v>
      </c>
      <c r="H639" s="7">
        <f t="shared" si="39"/>
        <v>34500</v>
      </c>
      <c r="I639" s="7">
        <f t="shared" si="36"/>
        <v>5175</v>
      </c>
      <c r="J639" s="7">
        <f t="shared" si="37"/>
        <v>29325</v>
      </c>
      <c r="K639" s="12">
        <v>23000</v>
      </c>
      <c r="L639" s="12">
        <f t="shared" si="38"/>
        <v>6325</v>
      </c>
      <c r="M639" s="13">
        <v>41974</v>
      </c>
      <c r="N639" s="14"/>
      <c r="O639" s="12"/>
      <c r="P639" s="15"/>
    </row>
    <row r="640" spans="1:16" ht="15.75" customHeight="1" x14ac:dyDescent="0.3">
      <c r="A640" s="6" t="s">
        <v>16</v>
      </c>
      <c r="B640" s="6" t="s">
        <v>23</v>
      </c>
      <c r="C640" s="7" t="s">
        <v>29</v>
      </c>
      <c r="D640" s="7" t="s">
        <v>35</v>
      </c>
      <c r="E640" s="6">
        <v>260</v>
      </c>
      <c r="F640" s="7">
        <v>10</v>
      </c>
      <c r="G640" s="7">
        <v>20</v>
      </c>
      <c r="H640" s="7">
        <f t="shared" si="39"/>
        <v>5200</v>
      </c>
      <c r="I640" s="7">
        <f t="shared" si="36"/>
        <v>780</v>
      </c>
      <c r="J640" s="7">
        <f t="shared" si="37"/>
        <v>4420</v>
      </c>
      <c r="K640" s="7">
        <v>2600</v>
      </c>
      <c r="L640" s="12">
        <f t="shared" si="38"/>
        <v>1820</v>
      </c>
      <c r="M640" s="8">
        <v>41671</v>
      </c>
      <c r="N640" s="9"/>
      <c r="O640" s="7"/>
      <c r="P640" s="10"/>
    </row>
    <row r="641" spans="1:16" ht="15.75" customHeight="1" x14ac:dyDescent="0.3">
      <c r="A641" s="11" t="s">
        <v>21</v>
      </c>
      <c r="B641" s="11" t="s">
        <v>17</v>
      </c>
      <c r="C641" s="12" t="s">
        <v>29</v>
      </c>
      <c r="D641" s="12" t="s">
        <v>35</v>
      </c>
      <c r="E641" s="11">
        <v>2470</v>
      </c>
      <c r="F641" s="12">
        <v>10</v>
      </c>
      <c r="G641" s="12">
        <v>15</v>
      </c>
      <c r="H641" s="7">
        <f t="shared" si="39"/>
        <v>37050</v>
      </c>
      <c r="I641" s="7">
        <f t="shared" si="36"/>
        <v>5557.5</v>
      </c>
      <c r="J641" s="7">
        <f t="shared" si="37"/>
        <v>31492.5</v>
      </c>
      <c r="K641" s="12">
        <v>24700</v>
      </c>
      <c r="L641" s="12">
        <f t="shared" si="38"/>
        <v>6792.5</v>
      </c>
      <c r="M641" s="13">
        <v>41518</v>
      </c>
      <c r="N641" s="14"/>
      <c r="O641" s="12"/>
      <c r="P641" s="15"/>
    </row>
    <row r="642" spans="1:16" ht="15.75" customHeight="1" x14ac:dyDescent="0.3">
      <c r="A642" s="6" t="s">
        <v>21</v>
      </c>
      <c r="B642" s="6" t="s">
        <v>17</v>
      </c>
      <c r="C642" s="7" t="s">
        <v>29</v>
      </c>
      <c r="D642" s="7" t="s">
        <v>35</v>
      </c>
      <c r="E642" s="6">
        <v>1743</v>
      </c>
      <c r="F642" s="7">
        <v>10</v>
      </c>
      <c r="G642" s="7">
        <v>15</v>
      </c>
      <c r="H642" s="7">
        <f t="shared" si="39"/>
        <v>26145</v>
      </c>
      <c r="I642" s="7">
        <f t="shared" si="36"/>
        <v>3921.75</v>
      </c>
      <c r="J642" s="7">
        <f t="shared" si="37"/>
        <v>22223.25</v>
      </c>
      <c r="K642" s="7">
        <v>17430</v>
      </c>
      <c r="L642" s="12">
        <f t="shared" si="38"/>
        <v>4793.25</v>
      </c>
      <c r="M642" s="8">
        <v>41548</v>
      </c>
      <c r="N642" s="9"/>
      <c r="O642" s="7"/>
      <c r="P642" s="10"/>
    </row>
    <row r="643" spans="1:16" ht="15.75" customHeight="1" x14ac:dyDescent="0.3">
      <c r="A643" s="11" t="s">
        <v>25</v>
      </c>
      <c r="B643" s="11" t="s">
        <v>28</v>
      </c>
      <c r="C643" s="12" t="s">
        <v>29</v>
      </c>
      <c r="D643" s="12" t="s">
        <v>35</v>
      </c>
      <c r="E643" s="11">
        <v>2914</v>
      </c>
      <c r="F643" s="12">
        <v>10</v>
      </c>
      <c r="G643" s="12">
        <v>12</v>
      </c>
      <c r="H643" s="7">
        <f t="shared" si="39"/>
        <v>34968</v>
      </c>
      <c r="I643" s="7">
        <f t="shared" ref="I643:I701" si="40">IF(D643="None", 0, IF(D643="Low", H643*0.05, IF(D643="Medium", H643*0.1, IF(D643="High", H643*0.15, 0))))</f>
        <v>5245.2</v>
      </c>
      <c r="J643" s="7">
        <f t="shared" ref="J643:J701" si="41">H643-I643</f>
        <v>29722.799999999999</v>
      </c>
      <c r="K643" s="12">
        <v>8742</v>
      </c>
      <c r="L643" s="12">
        <f t="shared" si="38"/>
        <v>20980.799999999999</v>
      </c>
      <c r="M643" s="13">
        <v>41913</v>
      </c>
      <c r="N643" s="14"/>
      <c r="O643" s="12"/>
      <c r="P643" s="15"/>
    </row>
    <row r="644" spans="1:16" ht="15.75" customHeight="1" x14ac:dyDescent="0.3">
      <c r="A644" s="6" t="s">
        <v>16</v>
      </c>
      <c r="B644" s="6" t="s">
        <v>22</v>
      </c>
      <c r="C644" s="7" t="s">
        <v>29</v>
      </c>
      <c r="D644" s="7" t="s">
        <v>35</v>
      </c>
      <c r="E644" s="6">
        <v>1731</v>
      </c>
      <c r="F644" s="7">
        <v>10</v>
      </c>
      <c r="G644" s="7">
        <v>7</v>
      </c>
      <c r="H644" s="7">
        <f t="shared" si="39"/>
        <v>12117</v>
      </c>
      <c r="I644" s="7">
        <f t="shared" si="40"/>
        <v>1817.55</v>
      </c>
      <c r="J644" s="7">
        <f t="shared" si="41"/>
        <v>10299.450000000001</v>
      </c>
      <c r="K644" s="7">
        <v>8655</v>
      </c>
      <c r="L644" s="12">
        <f t="shared" ref="L644:L701" si="42">J644-K644</f>
        <v>1644.4500000000007</v>
      </c>
      <c r="M644" s="8">
        <v>41913</v>
      </c>
      <c r="N644" s="9"/>
      <c r="O644" s="7"/>
      <c r="P644" s="10"/>
    </row>
    <row r="645" spans="1:16" ht="15.75" customHeight="1" x14ac:dyDescent="0.3">
      <c r="A645" s="11" t="s">
        <v>16</v>
      </c>
      <c r="B645" s="11" t="s">
        <v>17</v>
      </c>
      <c r="C645" s="12" t="s">
        <v>29</v>
      </c>
      <c r="D645" s="12" t="s">
        <v>35</v>
      </c>
      <c r="E645" s="11">
        <v>700</v>
      </c>
      <c r="F645" s="12">
        <v>10</v>
      </c>
      <c r="G645" s="12">
        <v>350</v>
      </c>
      <c r="H645" s="7">
        <f t="shared" ref="H645:H701" si="43">E645*G645</f>
        <v>245000</v>
      </c>
      <c r="I645" s="7">
        <f t="shared" si="40"/>
        <v>36750</v>
      </c>
      <c r="J645" s="7">
        <f t="shared" si="41"/>
        <v>208250</v>
      </c>
      <c r="K645" s="12">
        <v>182000</v>
      </c>
      <c r="L645" s="12">
        <f t="shared" si="42"/>
        <v>26250</v>
      </c>
      <c r="M645" s="13">
        <v>41944</v>
      </c>
      <c r="N645" s="14"/>
      <c r="O645" s="12"/>
      <c r="P645" s="15"/>
    </row>
    <row r="646" spans="1:16" ht="15.75" customHeight="1" x14ac:dyDescent="0.3">
      <c r="A646" s="6" t="s">
        <v>25</v>
      </c>
      <c r="B646" s="6" t="s">
        <v>17</v>
      </c>
      <c r="C646" s="7" t="s">
        <v>29</v>
      </c>
      <c r="D646" s="7" t="s">
        <v>35</v>
      </c>
      <c r="E646" s="6">
        <v>2222</v>
      </c>
      <c r="F646" s="7">
        <v>10</v>
      </c>
      <c r="G646" s="7">
        <v>12</v>
      </c>
      <c r="H646" s="7">
        <f t="shared" si="43"/>
        <v>26664</v>
      </c>
      <c r="I646" s="7">
        <f t="shared" si="40"/>
        <v>3999.6</v>
      </c>
      <c r="J646" s="7">
        <f t="shared" si="41"/>
        <v>22664.400000000001</v>
      </c>
      <c r="K646" s="7">
        <v>6666</v>
      </c>
      <c r="L646" s="12">
        <f t="shared" si="42"/>
        <v>15998.400000000001</v>
      </c>
      <c r="M646" s="8">
        <v>41579</v>
      </c>
      <c r="N646" s="9"/>
      <c r="O646" s="7"/>
      <c r="P646" s="10"/>
    </row>
    <row r="647" spans="1:16" ht="15.75" customHeight="1" x14ac:dyDescent="0.3">
      <c r="A647" s="11" t="s">
        <v>16</v>
      </c>
      <c r="B647" s="11" t="s">
        <v>28</v>
      </c>
      <c r="C647" s="12" t="s">
        <v>29</v>
      </c>
      <c r="D647" s="12" t="s">
        <v>35</v>
      </c>
      <c r="E647" s="11">
        <v>1177</v>
      </c>
      <c r="F647" s="12">
        <v>10</v>
      </c>
      <c r="G647" s="12">
        <v>350</v>
      </c>
      <c r="H647" s="7">
        <f t="shared" si="43"/>
        <v>411950</v>
      </c>
      <c r="I647" s="7">
        <f t="shared" si="40"/>
        <v>61792.5</v>
      </c>
      <c r="J647" s="7">
        <f t="shared" si="41"/>
        <v>350157.5</v>
      </c>
      <c r="K647" s="12">
        <v>306020</v>
      </c>
      <c r="L647" s="12">
        <f t="shared" si="42"/>
        <v>44137.5</v>
      </c>
      <c r="M647" s="13">
        <v>41944</v>
      </c>
      <c r="N647" s="14"/>
      <c r="O647" s="12"/>
      <c r="P647" s="15"/>
    </row>
    <row r="648" spans="1:16" ht="15.75" customHeight="1" x14ac:dyDescent="0.3">
      <c r="A648" s="6" t="s">
        <v>16</v>
      </c>
      <c r="B648" s="6" t="s">
        <v>22</v>
      </c>
      <c r="C648" s="7" t="s">
        <v>29</v>
      </c>
      <c r="D648" s="7" t="s">
        <v>35</v>
      </c>
      <c r="E648" s="6">
        <v>1922</v>
      </c>
      <c r="F648" s="7">
        <v>10</v>
      </c>
      <c r="G648" s="7">
        <v>350</v>
      </c>
      <c r="H648" s="7">
        <f t="shared" si="43"/>
        <v>672700</v>
      </c>
      <c r="I648" s="7">
        <f t="shared" si="40"/>
        <v>100905</v>
      </c>
      <c r="J648" s="7">
        <f t="shared" si="41"/>
        <v>571795</v>
      </c>
      <c r="K648" s="7">
        <v>499720</v>
      </c>
      <c r="L648" s="12">
        <f t="shared" si="42"/>
        <v>72075</v>
      </c>
      <c r="M648" s="8">
        <v>41579</v>
      </c>
      <c r="N648" s="9"/>
      <c r="O648" s="7"/>
      <c r="P648" s="10"/>
    </row>
    <row r="649" spans="1:16" ht="15.75" customHeight="1" x14ac:dyDescent="0.3">
      <c r="A649" s="11" t="s">
        <v>26</v>
      </c>
      <c r="B649" s="11" t="s">
        <v>23</v>
      </c>
      <c r="C649" s="12" t="s">
        <v>30</v>
      </c>
      <c r="D649" s="12" t="s">
        <v>35</v>
      </c>
      <c r="E649" s="11">
        <v>1575</v>
      </c>
      <c r="F649" s="12">
        <v>120</v>
      </c>
      <c r="G649" s="12">
        <v>125</v>
      </c>
      <c r="H649" s="7">
        <f t="shared" si="43"/>
        <v>196875</v>
      </c>
      <c r="I649" s="7">
        <f t="shared" si="40"/>
        <v>29531.25</v>
      </c>
      <c r="J649" s="7">
        <f t="shared" si="41"/>
        <v>167343.75</v>
      </c>
      <c r="K649" s="12">
        <v>189000</v>
      </c>
      <c r="L649" s="12">
        <f t="shared" si="42"/>
        <v>-21656.25</v>
      </c>
      <c r="M649" s="13">
        <v>41671</v>
      </c>
      <c r="N649" s="14"/>
      <c r="O649" s="12"/>
      <c r="P649" s="15"/>
    </row>
    <row r="650" spans="1:16" ht="15.75" customHeight="1" x14ac:dyDescent="0.3">
      <c r="A650" s="6" t="s">
        <v>16</v>
      </c>
      <c r="B650" s="6" t="s">
        <v>28</v>
      </c>
      <c r="C650" s="7" t="s">
        <v>30</v>
      </c>
      <c r="D650" s="7" t="s">
        <v>35</v>
      </c>
      <c r="E650" s="6">
        <v>606</v>
      </c>
      <c r="F650" s="7">
        <v>120</v>
      </c>
      <c r="G650" s="7">
        <v>20</v>
      </c>
      <c r="H650" s="7">
        <f t="shared" si="43"/>
        <v>12120</v>
      </c>
      <c r="I650" s="7">
        <f t="shared" si="40"/>
        <v>1818</v>
      </c>
      <c r="J650" s="7">
        <f t="shared" si="41"/>
        <v>10302</v>
      </c>
      <c r="K650" s="7">
        <v>6060</v>
      </c>
      <c r="L650" s="12">
        <f t="shared" si="42"/>
        <v>4242</v>
      </c>
      <c r="M650" s="8">
        <v>41730</v>
      </c>
      <c r="N650" s="9"/>
      <c r="O650" s="7"/>
      <c r="P650" s="10"/>
    </row>
    <row r="651" spans="1:16" ht="15.75" customHeight="1" x14ac:dyDescent="0.3">
      <c r="A651" s="11" t="s">
        <v>27</v>
      </c>
      <c r="B651" s="11" t="s">
        <v>28</v>
      </c>
      <c r="C651" s="12" t="s">
        <v>30</v>
      </c>
      <c r="D651" s="12" t="s">
        <v>35</v>
      </c>
      <c r="E651" s="11">
        <v>2460</v>
      </c>
      <c r="F651" s="12">
        <v>120</v>
      </c>
      <c r="G651" s="12">
        <v>300</v>
      </c>
      <c r="H651" s="7">
        <f t="shared" si="43"/>
        <v>738000</v>
      </c>
      <c r="I651" s="7">
        <f t="shared" si="40"/>
        <v>110700</v>
      </c>
      <c r="J651" s="7">
        <f t="shared" si="41"/>
        <v>627300</v>
      </c>
      <c r="K651" s="12">
        <v>615000</v>
      </c>
      <c r="L651" s="12">
        <f t="shared" si="42"/>
        <v>12300</v>
      </c>
      <c r="M651" s="13">
        <v>41821</v>
      </c>
      <c r="N651" s="14"/>
      <c r="O651" s="12"/>
      <c r="P651" s="15"/>
    </row>
    <row r="652" spans="1:16" ht="15.75" customHeight="1" x14ac:dyDescent="0.3">
      <c r="A652" s="6" t="s">
        <v>27</v>
      </c>
      <c r="B652" s="6" t="s">
        <v>17</v>
      </c>
      <c r="C652" s="7" t="s">
        <v>30</v>
      </c>
      <c r="D652" s="7" t="s">
        <v>35</v>
      </c>
      <c r="E652" s="6">
        <v>269</v>
      </c>
      <c r="F652" s="7">
        <v>120</v>
      </c>
      <c r="G652" s="7">
        <v>300</v>
      </c>
      <c r="H652" s="7">
        <f t="shared" si="43"/>
        <v>80700</v>
      </c>
      <c r="I652" s="7">
        <f t="shared" si="40"/>
        <v>12105</v>
      </c>
      <c r="J652" s="7">
        <f t="shared" si="41"/>
        <v>68595</v>
      </c>
      <c r="K652" s="7">
        <v>67250</v>
      </c>
      <c r="L652" s="12">
        <f t="shared" si="42"/>
        <v>1345</v>
      </c>
      <c r="M652" s="8">
        <v>41548</v>
      </c>
      <c r="N652" s="9"/>
      <c r="O652" s="7"/>
      <c r="P652" s="10"/>
    </row>
    <row r="653" spans="1:16" ht="15.75" customHeight="1" x14ac:dyDescent="0.3">
      <c r="A653" s="11" t="s">
        <v>27</v>
      </c>
      <c r="B653" s="11" t="s">
        <v>20</v>
      </c>
      <c r="C653" s="12" t="s">
        <v>30</v>
      </c>
      <c r="D653" s="12" t="s">
        <v>35</v>
      </c>
      <c r="E653" s="11">
        <v>2536</v>
      </c>
      <c r="F653" s="12">
        <v>120</v>
      </c>
      <c r="G653" s="12">
        <v>300</v>
      </c>
      <c r="H653" s="7">
        <f t="shared" si="43"/>
        <v>760800</v>
      </c>
      <c r="I653" s="7">
        <f t="shared" si="40"/>
        <v>114120</v>
      </c>
      <c r="J653" s="7">
        <f t="shared" si="41"/>
        <v>646680</v>
      </c>
      <c r="K653" s="12">
        <v>634000</v>
      </c>
      <c r="L653" s="12">
        <f t="shared" si="42"/>
        <v>12680</v>
      </c>
      <c r="M653" s="13">
        <v>41579</v>
      </c>
      <c r="N653" s="14"/>
      <c r="O653" s="12"/>
      <c r="P653" s="15"/>
    </row>
    <row r="654" spans="1:16" ht="15.75" customHeight="1" x14ac:dyDescent="0.3">
      <c r="A654" s="6" t="s">
        <v>16</v>
      </c>
      <c r="B654" s="6" t="s">
        <v>23</v>
      </c>
      <c r="C654" s="7" t="s">
        <v>31</v>
      </c>
      <c r="D654" s="7" t="s">
        <v>35</v>
      </c>
      <c r="E654" s="6">
        <v>2903</v>
      </c>
      <c r="F654" s="7">
        <v>250</v>
      </c>
      <c r="G654" s="7">
        <v>7</v>
      </c>
      <c r="H654" s="7">
        <f t="shared" si="43"/>
        <v>20321</v>
      </c>
      <c r="I654" s="7">
        <f t="shared" si="40"/>
        <v>3048.15</v>
      </c>
      <c r="J654" s="7">
        <f t="shared" si="41"/>
        <v>17272.849999999999</v>
      </c>
      <c r="K654" s="7">
        <v>14515</v>
      </c>
      <c r="L654" s="12">
        <f t="shared" si="42"/>
        <v>2757.8499999999985</v>
      </c>
      <c r="M654" s="8">
        <v>41699</v>
      </c>
      <c r="N654" s="9"/>
      <c r="O654" s="7"/>
      <c r="P654" s="10"/>
    </row>
    <row r="655" spans="1:16" ht="15.75" customHeight="1" x14ac:dyDescent="0.3">
      <c r="A655" s="11" t="s">
        <v>27</v>
      </c>
      <c r="B655" s="11" t="s">
        <v>28</v>
      </c>
      <c r="C655" s="12" t="s">
        <v>31</v>
      </c>
      <c r="D655" s="12" t="s">
        <v>35</v>
      </c>
      <c r="E655" s="11">
        <v>2541</v>
      </c>
      <c r="F655" s="12">
        <v>250</v>
      </c>
      <c r="G655" s="12">
        <v>300</v>
      </c>
      <c r="H655" s="7">
        <f t="shared" si="43"/>
        <v>762300</v>
      </c>
      <c r="I655" s="7">
        <f t="shared" si="40"/>
        <v>114345</v>
      </c>
      <c r="J655" s="7">
        <f t="shared" si="41"/>
        <v>647955</v>
      </c>
      <c r="K655" s="12">
        <v>635250</v>
      </c>
      <c r="L655" s="12">
        <f t="shared" si="42"/>
        <v>12705</v>
      </c>
      <c r="M655" s="13">
        <v>41852</v>
      </c>
      <c r="N655" s="14"/>
      <c r="O655" s="12"/>
      <c r="P655" s="15"/>
    </row>
    <row r="656" spans="1:16" ht="15.75" customHeight="1" x14ac:dyDescent="0.3">
      <c r="A656" s="6" t="s">
        <v>27</v>
      </c>
      <c r="B656" s="6" t="s">
        <v>17</v>
      </c>
      <c r="C656" s="7" t="s">
        <v>31</v>
      </c>
      <c r="D656" s="7" t="s">
        <v>35</v>
      </c>
      <c r="E656" s="6">
        <v>269</v>
      </c>
      <c r="F656" s="7">
        <v>250</v>
      </c>
      <c r="G656" s="7">
        <v>300</v>
      </c>
      <c r="H656" s="7">
        <f t="shared" si="43"/>
        <v>80700</v>
      </c>
      <c r="I656" s="7">
        <f t="shared" si="40"/>
        <v>12105</v>
      </c>
      <c r="J656" s="7">
        <f t="shared" si="41"/>
        <v>68595</v>
      </c>
      <c r="K656" s="7">
        <v>67250</v>
      </c>
      <c r="L656" s="12">
        <f t="shared" si="42"/>
        <v>1345</v>
      </c>
      <c r="M656" s="8">
        <v>41548</v>
      </c>
      <c r="N656" s="9"/>
      <c r="O656" s="7"/>
      <c r="P656" s="10"/>
    </row>
    <row r="657" spans="1:16" ht="15.75" customHeight="1" x14ac:dyDescent="0.3">
      <c r="A657" s="11" t="s">
        <v>27</v>
      </c>
      <c r="B657" s="11" t="s">
        <v>17</v>
      </c>
      <c r="C657" s="12" t="s">
        <v>31</v>
      </c>
      <c r="D657" s="12" t="s">
        <v>35</v>
      </c>
      <c r="E657" s="11">
        <v>1496</v>
      </c>
      <c r="F657" s="12">
        <v>250</v>
      </c>
      <c r="G657" s="12">
        <v>300</v>
      </c>
      <c r="H657" s="7">
        <f t="shared" si="43"/>
        <v>448800</v>
      </c>
      <c r="I657" s="7">
        <f t="shared" si="40"/>
        <v>67320</v>
      </c>
      <c r="J657" s="7">
        <f t="shared" si="41"/>
        <v>381480</v>
      </c>
      <c r="K657" s="12">
        <v>374000</v>
      </c>
      <c r="L657" s="12">
        <f t="shared" si="42"/>
        <v>7480</v>
      </c>
      <c r="M657" s="13">
        <v>41913</v>
      </c>
      <c r="N657" s="14"/>
      <c r="O657" s="12"/>
      <c r="P657" s="15"/>
    </row>
    <row r="658" spans="1:16" ht="15.75" customHeight="1" x14ac:dyDescent="0.3">
      <c r="A658" s="6" t="s">
        <v>27</v>
      </c>
      <c r="B658" s="6" t="s">
        <v>28</v>
      </c>
      <c r="C658" s="7" t="s">
        <v>31</v>
      </c>
      <c r="D658" s="7" t="s">
        <v>35</v>
      </c>
      <c r="E658" s="6">
        <v>1010</v>
      </c>
      <c r="F658" s="7">
        <v>250</v>
      </c>
      <c r="G658" s="7">
        <v>300</v>
      </c>
      <c r="H658" s="7">
        <f t="shared" si="43"/>
        <v>303000</v>
      </c>
      <c r="I658" s="7">
        <f t="shared" si="40"/>
        <v>45450</v>
      </c>
      <c r="J658" s="7">
        <f t="shared" si="41"/>
        <v>257550</v>
      </c>
      <c r="K658" s="7">
        <v>252500</v>
      </c>
      <c r="L658" s="12">
        <f t="shared" si="42"/>
        <v>5050</v>
      </c>
      <c r="M658" s="8">
        <v>41913</v>
      </c>
      <c r="N658" s="9"/>
      <c r="O658" s="7"/>
      <c r="P658" s="10"/>
    </row>
    <row r="659" spans="1:16" ht="15.75" customHeight="1" x14ac:dyDescent="0.3">
      <c r="A659" s="11" t="s">
        <v>16</v>
      </c>
      <c r="B659" s="11" t="s">
        <v>22</v>
      </c>
      <c r="C659" s="12" t="s">
        <v>31</v>
      </c>
      <c r="D659" s="12" t="s">
        <v>35</v>
      </c>
      <c r="E659" s="11">
        <v>1281</v>
      </c>
      <c r="F659" s="12">
        <v>250</v>
      </c>
      <c r="G659" s="12">
        <v>350</v>
      </c>
      <c r="H659" s="7">
        <f t="shared" si="43"/>
        <v>448350</v>
      </c>
      <c r="I659" s="7">
        <f t="shared" si="40"/>
        <v>67252.5</v>
      </c>
      <c r="J659" s="7">
        <f t="shared" si="41"/>
        <v>381097.5</v>
      </c>
      <c r="K659" s="12">
        <v>333060</v>
      </c>
      <c r="L659" s="12">
        <f t="shared" si="42"/>
        <v>48037.5</v>
      </c>
      <c r="M659" s="13">
        <v>41609</v>
      </c>
      <c r="N659" s="14"/>
      <c r="O659" s="12"/>
      <c r="P659" s="15"/>
    </row>
    <row r="660" spans="1:16" ht="15.75" customHeight="1" x14ac:dyDescent="0.3">
      <c r="A660" s="6" t="s">
        <v>27</v>
      </c>
      <c r="B660" s="6" t="s">
        <v>17</v>
      </c>
      <c r="C660" s="7" t="s">
        <v>32</v>
      </c>
      <c r="D660" s="7" t="s">
        <v>35</v>
      </c>
      <c r="E660" s="6">
        <v>888</v>
      </c>
      <c r="F660" s="7">
        <v>260</v>
      </c>
      <c r="G660" s="7">
        <v>300</v>
      </c>
      <c r="H660" s="7">
        <f t="shared" si="43"/>
        <v>266400</v>
      </c>
      <c r="I660" s="7">
        <f t="shared" si="40"/>
        <v>39960</v>
      </c>
      <c r="J660" s="7">
        <f t="shared" si="41"/>
        <v>226440</v>
      </c>
      <c r="K660" s="7">
        <v>222000</v>
      </c>
      <c r="L660" s="12">
        <f t="shared" si="42"/>
        <v>4440</v>
      </c>
      <c r="M660" s="8">
        <v>41699</v>
      </c>
      <c r="N660" s="9"/>
      <c r="O660" s="7"/>
      <c r="P660" s="10"/>
    </row>
    <row r="661" spans="1:16" ht="15.75" customHeight="1" x14ac:dyDescent="0.3">
      <c r="A661" s="11" t="s">
        <v>26</v>
      </c>
      <c r="B661" s="11" t="s">
        <v>28</v>
      </c>
      <c r="C661" s="12" t="s">
        <v>32</v>
      </c>
      <c r="D661" s="12" t="s">
        <v>35</v>
      </c>
      <c r="E661" s="11">
        <v>2844</v>
      </c>
      <c r="F661" s="12">
        <v>260</v>
      </c>
      <c r="G661" s="12">
        <v>125</v>
      </c>
      <c r="H661" s="7">
        <f t="shared" si="43"/>
        <v>355500</v>
      </c>
      <c r="I661" s="7">
        <f t="shared" si="40"/>
        <v>53325</v>
      </c>
      <c r="J661" s="7">
        <f t="shared" si="41"/>
        <v>302175</v>
      </c>
      <c r="K661" s="12">
        <v>341280</v>
      </c>
      <c r="L661" s="12">
        <f t="shared" si="42"/>
        <v>-39105</v>
      </c>
      <c r="M661" s="13">
        <v>41760</v>
      </c>
      <c r="N661" s="14"/>
      <c r="O661" s="12"/>
      <c r="P661" s="15"/>
    </row>
    <row r="662" spans="1:16" ht="15.75" customHeight="1" x14ac:dyDescent="0.3">
      <c r="A662" s="6" t="s">
        <v>25</v>
      </c>
      <c r="B662" s="6" t="s">
        <v>22</v>
      </c>
      <c r="C662" s="7" t="s">
        <v>32</v>
      </c>
      <c r="D662" s="7" t="s">
        <v>35</v>
      </c>
      <c r="E662" s="6">
        <v>2475</v>
      </c>
      <c r="F662" s="7">
        <v>260</v>
      </c>
      <c r="G662" s="7">
        <v>12</v>
      </c>
      <c r="H662" s="7">
        <f t="shared" si="43"/>
        <v>29700</v>
      </c>
      <c r="I662" s="7">
        <f t="shared" si="40"/>
        <v>4455</v>
      </c>
      <c r="J662" s="7">
        <f t="shared" si="41"/>
        <v>25245</v>
      </c>
      <c r="K662" s="7">
        <v>7425</v>
      </c>
      <c r="L662" s="12">
        <f t="shared" si="42"/>
        <v>17820</v>
      </c>
      <c r="M662" s="8">
        <v>41852</v>
      </c>
      <c r="N662" s="9"/>
      <c r="O662" s="7"/>
      <c r="P662" s="10"/>
    </row>
    <row r="663" spans="1:16" ht="15.75" customHeight="1" x14ac:dyDescent="0.3">
      <c r="A663" s="11" t="s">
        <v>21</v>
      </c>
      <c r="B663" s="11" t="s">
        <v>17</v>
      </c>
      <c r="C663" s="12" t="s">
        <v>32</v>
      </c>
      <c r="D663" s="12" t="s">
        <v>35</v>
      </c>
      <c r="E663" s="11">
        <v>1743</v>
      </c>
      <c r="F663" s="12">
        <v>260</v>
      </c>
      <c r="G663" s="12">
        <v>15</v>
      </c>
      <c r="H663" s="7">
        <f t="shared" si="43"/>
        <v>26145</v>
      </c>
      <c r="I663" s="7">
        <f t="shared" si="40"/>
        <v>3921.75</v>
      </c>
      <c r="J663" s="7">
        <f t="shared" si="41"/>
        <v>22223.25</v>
      </c>
      <c r="K663" s="12">
        <v>17430</v>
      </c>
      <c r="L663" s="12">
        <f t="shared" si="42"/>
        <v>4793.25</v>
      </c>
      <c r="M663" s="13">
        <v>41548</v>
      </c>
      <c r="N663" s="14"/>
      <c r="O663" s="12"/>
      <c r="P663" s="15"/>
    </row>
    <row r="664" spans="1:16" ht="15.75" customHeight="1" x14ac:dyDescent="0.3">
      <c r="A664" s="6" t="s">
        <v>25</v>
      </c>
      <c r="B664" s="6" t="s">
        <v>28</v>
      </c>
      <c r="C664" s="7" t="s">
        <v>32</v>
      </c>
      <c r="D664" s="7" t="s">
        <v>35</v>
      </c>
      <c r="E664" s="6">
        <v>2914</v>
      </c>
      <c r="F664" s="7">
        <v>260</v>
      </c>
      <c r="G664" s="7">
        <v>12</v>
      </c>
      <c r="H664" s="7">
        <f t="shared" si="43"/>
        <v>34968</v>
      </c>
      <c r="I664" s="7">
        <f t="shared" si="40"/>
        <v>5245.2</v>
      </c>
      <c r="J664" s="7">
        <f t="shared" si="41"/>
        <v>29722.799999999999</v>
      </c>
      <c r="K664" s="7">
        <v>8742</v>
      </c>
      <c r="L664" s="12">
        <f t="shared" si="42"/>
        <v>20980.799999999999</v>
      </c>
      <c r="M664" s="8">
        <v>41913</v>
      </c>
      <c r="N664" s="9"/>
      <c r="O664" s="7"/>
      <c r="P664" s="10"/>
    </row>
    <row r="665" spans="1:16" ht="15.75" customHeight="1" x14ac:dyDescent="0.3">
      <c r="A665" s="11" t="s">
        <v>16</v>
      </c>
      <c r="B665" s="11" t="s">
        <v>22</v>
      </c>
      <c r="C665" s="12" t="s">
        <v>32</v>
      </c>
      <c r="D665" s="12" t="s">
        <v>35</v>
      </c>
      <c r="E665" s="11">
        <v>1731</v>
      </c>
      <c r="F665" s="12">
        <v>260</v>
      </c>
      <c r="G665" s="12">
        <v>7</v>
      </c>
      <c r="H665" s="7">
        <f t="shared" si="43"/>
        <v>12117</v>
      </c>
      <c r="I665" s="7">
        <f t="shared" si="40"/>
        <v>1817.55</v>
      </c>
      <c r="J665" s="7">
        <f t="shared" si="41"/>
        <v>10299.450000000001</v>
      </c>
      <c r="K665" s="12">
        <v>8655</v>
      </c>
      <c r="L665" s="12">
        <f t="shared" si="42"/>
        <v>1644.4500000000007</v>
      </c>
      <c r="M665" s="13">
        <v>41913</v>
      </c>
      <c r="N665" s="14"/>
      <c r="O665" s="12"/>
      <c r="P665" s="15"/>
    </row>
    <row r="666" spans="1:16" ht="15.75" customHeight="1" x14ac:dyDescent="0.3">
      <c r="A666" s="6" t="s">
        <v>16</v>
      </c>
      <c r="B666" s="6" t="s">
        <v>23</v>
      </c>
      <c r="C666" s="7" t="s">
        <v>32</v>
      </c>
      <c r="D666" s="7" t="s">
        <v>35</v>
      </c>
      <c r="E666" s="6">
        <v>1727</v>
      </c>
      <c r="F666" s="7">
        <v>260</v>
      </c>
      <c r="G666" s="7">
        <v>7</v>
      </c>
      <c r="H666" s="7">
        <f t="shared" si="43"/>
        <v>12089</v>
      </c>
      <c r="I666" s="7">
        <f t="shared" si="40"/>
        <v>1813.35</v>
      </c>
      <c r="J666" s="7">
        <f t="shared" si="41"/>
        <v>10275.65</v>
      </c>
      <c r="K666" s="7">
        <v>8635</v>
      </c>
      <c r="L666" s="12">
        <f t="shared" si="42"/>
        <v>1640.6499999999996</v>
      </c>
      <c r="M666" s="8">
        <v>41548</v>
      </c>
      <c r="N666" s="9"/>
      <c r="O666" s="7"/>
      <c r="P666" s="10"/>
    </row>
    <row r="667" spans="1:16" ht="15.75" customHeight="1" x14ac:dyDescent="0.3">
      <c r="A667" s="11" t="s">
        <v>21</v>
      </c>
      <c r="B667" s="11" t="s">
        <v>23</v>
      </c>
      <c r="C667" s="12" t="s">
        <v>32</v>
      </c>
      <c r="D667" s="12" t="s">
        <v>35</v>
      </c>
      <c r="E667" s="11">
        <v>1870</v>
      </c>
      <c r="F667" s="12">
        <v>260</v>
      </c>
      <c r="G667" s="12">
        <v>15</v>
      </c>
      <c r="H667" s="7">
        <f t="shared" si="43"/>
        <v>28050</v>
      </c>
      <c r="I667" s="7">
        <f t="shared" si="40"/>
        <v>4207.5</v>
      </c>
      <c r="J667" s="7">
        <f t="shared" si="41"/>
        <v>23842.5</v>
      </c>
      <c r="K667" s="12">
        <v>18700</v>
      </c>
      <c r="L667" s="12">
        <f t="shared" si="42"/>
        <v>5142.5</v>
      </c>
      <c r="M667" s="13">
        <v>41579</v>
      </c>
      <c r="N667" s="14"/>
      <c r="O667" s="12"/>
      <c r="P667" s="15"/>
    </row>
    <row r="668" spans="1:16" ht="15.75" customHeight="1" x14ac:dyDescent="0.3">
      <c r="A668" s="6" t="s">
        <v>26</v>
      </c>
      <c r="B668" s="6" t="s">
        <v>22</v>
      </c>
      <c r="C668" s="7" t="s">
        <v>18</v>
      </c>
      <c r="D668" s="7" t="s">
        <v>35</v>
      </c>
      <c r="E668" s="6">
        <v>1174</v>
      </c>
      <c r="F668" s="7">
        <v>3</v>
      </c>
      <c r="G668" s="7">
        <v>125</v>
      </c>
      <c r="H668" s="7">
        <f t="shared" si="43"/>
        <v>146750</v>
      </c>
      <c r="I668" s="7">
        <f t="shared" si="40"/>
        <v>22012.5</v>
      </c>
      <c r="J668" s="7">
        <f t="shared" si="41"/>
        <v>124737.5</v>
      </c>
      <c r="K668" s="7">
        <v>140880</v>
      </c>
      <c r="L668" s="12">
        <f t="shared" si="42"/>
        <v>-16142.5</v>
      </c>
      <c r="M668" s="8">
        <v>41852</v>
      </c>
      <c r="N668" s="9"/>
      <c r="O668" s="7"/>
      <c r="P668" s="10"/>
    </row>
    <row r="669" spans="1:16" ht="15.75" customHeight="1" x14ac:dyDescent="0.3">
      <c r="A669" s="11" t="s">
        <v>26</v>
      </c>
      <c r="B669" s="11" t="s">
        <v>20</v>
      </c>
      <c r="C669" s="12" t="s">
        <v>18</v>
      </c>
      <c r="D669" s="12" t="s">
        <v>35</v>
      </c>
      <c r="E669" s="11">
        <v>2767</v>
      </c>
      <c r="F669" s="12">
        <v>3</v>
      </c>
      <c r="G669" s="12">
        <v>125</v>
      </c>
      <c r="H669" s="7">
        <f t="shared" si="43"/>
        <v>345875</v>
      </c>
      <c r="I669" s="7">
        <f t="shared" si="40"/>
        <v>51881.25</v>
      </c>
      <c r="J669" s="7">
        <f t="shared" si="41"/>
        <v>293993.75</v>
      </c>
      <c r="K669" s="12">
        <v>332040</v>
      </c>
      <c r="L669" s="12">
        <f t="shared" si="42"/>
        <v>-38046.25</v>
      </c>
      <c r="M669" s="13">
        <v>41852</v>
      </c>
      <c r="N669" s="14"/>
      <c r="O669" s="12"/>
      <c r="P669" s="15"/>
    </row>
    <row r="670" spans="1:16" ht="15.75" customHeight="1" x14ac:dyDescent="0.3">
      <c r="A670" s="6" t="s">
        <v>26</v>
      </c>
      <c r="B670" s="6" t="s">
        <v>20</v>
      </c>
      <c r="C670" s="7" t="s">
        <v>18</v>
      </c>
      <c r="D670" s="7" t="s">
        <v>35</v>
      </c>
      <c r="E670" s="6">
        <v>1085</v>
      </c>
      <c r="F670" s="7">
        <v>3</v>
      </c>
      <c r="G670" s="7">
        <v>125</v>
      </c>
      <c r="H670" s="7">
        <f t="shared" si="43"/>
        <v>135625</v>
      </c>
      <c r="I670" s="7">
        <f t="shared" si="40"/>
        <v>20343.75</v>
      </c>
      <c r="J670" s="7">
        <f t="shared" si="41"/>
        <v>115281.25</v>
      </c>
      <c r="K670" s="7">
        <v>130200</v>
      </c>
      <c r="L670" s="12">
        <f t="shared" si="42"/>
        <v>-14918.75</v>
      </c>
      <c r="M670" s="8">
        <v>41913</v>
      </c>
      <c r="N670" s="9"/>
      <c r="O670" s="7"/>
      <c r="P670" s="10"/>
    </row>
    <row r="671" spans="1:16" ht="15.75" customHeight="1" x14ac:dyDescent="0.3">
      <c r="A671" s="11" t="s">
        <v>27</v>
      </c>
      <c r="B671" s="11" t="s">
        <v>23</v>
      </c>
      <c r="C671" s="12" t="s">
        <v>24</v>
      </c>
      <c r="D671" s="12" t="s">
        <v>35</v>
      </c>
      <c r="E671" s="11">
        <v>546</v>
      </c>
      <c r="F671" s="12">
        <v>5</v>
      </c>
      <c r="G671" s="12">
        <v>300</v>
      </c>
      <c r="H671" s="7">
        <f t="shared" si="43"/>
        <v>163800</v>
      </c>
      <c r="I671" s="7">
        <f t="shared" si="40"/>
        <v>24570</v>
      </c>
      <c r="J671" s="7">
        <f t="shared" si="41"/>
        <v>139230</v>
      </c>
      <c r="K671" s="12">
        <v>136500</v>
      </c>
      <c r="L671" s="12">
        <f t="shared" si="42"/>
        <v>2730</v>
      </c>
      <c r="M671" s="13">
        <v>41913</v>
      </c>
      <c r="N671" s="14"/>
      <c r="O671" s="12"/>
      <c r="P671" s="15"/>
    </row>
    <row r="672" spans="1:16" ht="15.75" customHeight="1" x14ac:dyDescent="0.3">
      <c r="A672" s="6" t="s">
        <v>16</v>
      </c>
      <c r="B672" s="6" t="s">
        <v>20</v>
      </c>
      <c r="C672" s="7" t="s">
        <v>29</v>
      </c>
      <c r="D672" s="7" t="s">
        <v>35</v>
      </c>
      <c r="E672" s="6">
        <v>1158</v>
      </c>
      <c r="F672" s="7">
        <v>10</v>
      </c>
      <c r="G672" s="7">
        <v>20</v>
      </c>
      <c r="H672" s="7">
        <f t="shared" si="43"/>
        <v>23160</v>
      </c>
      <c r="I672" s="7">
        <f t="shared" si="40"/>
        <v>3474</v>
      </c>
      <c r="J672" s="7">
        <f t="shared" si="41"/>
        <v>19686</v>
      </c>
      <c r="K672" s="7">
        <v>11580</v>
      </c>
      <c r="L672" s="12">
        <f t="shared" si="42"/>
        <v>8106</v>
      </c>
      <c r="M672" s="8">
        <v>41699</v>
      </c>
      <c r="N672" s="9"/>
      <c r="O672" s="7"/>
      <c r="P672" s="10"/>
    </row>
    <row r="673" spans="1:16" ht="15.75" customHeight="1" x14ac:dyDescent="0.3">
      <c r="A673" s="11" t="s">
        <v>21</v>
      </c>
      <c r="B673" s="11" t="s">
        <v>17</v>
      </c>
      <c r="C673" s="12" t="s">
        <v>29</v>
      </c>
      <c r="D673" s="12" t="s">
        <v>35</v>
      </c>
      <c r="E673" s="11">
        <v>1614</v>
      </c>
      <c r="F673" s="12">
        <v>10</v>
      </c>
      <c r="G673" s="12">
        <v>15</v>
      </c>
      <c r="H673" s="7">
        <f t="shared" si="43"/>
        <v>24210</v>
      </c>
      <c r="I673" s="7">
        <f t="shared" si="40"/>
        <v>3631.5</v>
      </c>
      <c r="J673" s="7">
        <f t="shared" si="41"/>
        <v>20578.5</v>
      </c>
      <c r="K673" s="12">
        <v>16140</v>
      </c>
      <c r="L673" s="12">
        <f t="shared" si="42"/>
        <v>4438.5</v>
      </c>
      <c r="M673" s="13">
        <v>41730</v>
      </c>
      <c r="N673" s="14"/>
      <c r="O673" s="12"/>
      <c r="P673" s="15"/>
    </row>
    <row r="674" spans="1:16" ht="15.75" customHeight="1" x14ac:dyDescent="0.3">
      <c r="A674" s="6" t="s">
        <v>16</v>
      </c>
      <c r="B674" s="6" t="s">
        <v>23</v>
      </c>
      <c r="C674" s="7" t="s">
        <v>29</v>
      </c>
      <c r="D674" s="7" t="s">
        <v>35</v>
      </c>
      <c r="E674" s="6">
        <v>2535</v>
      </c>
      <c r="F674" s="7">
        <v>10</v>
      </c>
      <c r="G674" s="7">
        <v>7</v>
      </c>
      <c r="H674" s="7">
        <f t="shared" si="43"/>
        <v>17745</v>
      </c>
      <c r="I674" s="7">
        <f t="shared" si="40"/>
        <v>2661.75</v>
      </c>
      <c r="J674" s="7">
        <f t="shared" si="41"/>
        <v>15083.25</v>
      </c>
      <c r="K674" s="7">
        <v>12675</v>
      </c>
      <c r="L674" s="12">
        <f t="shared" si="42"/>
        <v>2408.25</v>
      </c>
      <c r="M674" s="8">
        <v>41730</v>
      </c>
      <c r="N674" s="9"/>
      <c r="O674" s="7"/>
      <c r="P674" s="10"/>
    </row>
    <row r="675" spans="1:16" ht="15.75" customHeight="1" x14ac:dyDescent="0.3">
      <c r="A675" s="11" t="s">
        <v>16</v>
      </c>
      <c r="B675" s="11" t="s">
        <v>23</v>
      </c>
      <c r="C675" s="12" t="s">
        <v>29</v>
      </c>
      <c r="D675" s="12" t="s">
        <v>35</v>
      </c>
      <c r="E675" s="11">
        <v>2851</v>
      </c>
      <c r="F675" s="12">
        <v>10</v>
      </c>
      <c r="G675" s="12">
        <v>350</v>
      </c>
      <c r="H675" s="7">
        <f t="shared" si="43"/>
        <v>997850</v>
      </c>
      <c r="I675" s="7">
        <f t="shared" si="40"/>
        <v>149677.5</v>
      </c>
      <c r="J675" s="7">
        <f t="shared" si="41"/>
        <v>848172.5</v>
      </c>
      <c r="K675" s="12">
        <v>741260</v>
      </c>
      <c r="L675" s="12">
        <f t="shared" si="42"/>
        <v>106912.5</v>
      </c>
      <c r="M675" s="13">
        <v>41760</v>
      </c>
      <c r="N675" s="14"/>
      <c r="O675" s="12"/>
      <c r="P675" s="15"/>
    </row>
    <row r="676" spans="1:16" ht="15.75" customHeight="1" x14ac:dyDescent="0.3">
      <c r="A676" s="6" t="s">
        <v>21</v>
      </c>
      <c r="B676" s="6" t="s">
        <v>17</v>
      </c>
      <c r="C676" s="7" t="s">
        <v>29</v>
      </c>
      <c r="D676" s="7" t="s">
        <v>35</v>
      </c>
      <c r="E676" s="6">
        <v>2559</v>
      </c>
      <c r="F676" s="7">
        <v>10</v>
      </c>
      <c r="G676" s="7">
        <v>15</v>
      </c>
      <c r="H676" s="7">
        <f t="shared" si="43"/>
        <v>38385</v>
      </c>
      <c r="I676" s="7">
        <f t="shared" si="40"/>
        <v>5757.75</v>
      </c>
      <c r="J676" s="7">
        <f t="shared" si="41"/>
        <v>32627.25</v>
      </c>
      <c r="K676" s="7">
        <v>25590</v>
      </c>
      <c r="L676" s="12">
        <f t="shared" si="42"/>
        <v>7037.25</v>
      </c>
      <c r="M676" s="8">
        <v>41852</v>
      </c>
      <c r="N676" s="9"/>
      <c r="O676" s="7"/>
      <c r="P676" s="10"/>
    </row>
    <row r="677" spans="1:16" ht="15.75" customHeight="1" x14ac:dyDescent="0.3">
      <c r="A677" s="11" t="s">
        <v>16</v>
      </c>
      <c r="B677" s="11" t="s">
        <v>28</v>
      </c>
      <c r="C677" s="12" t="s">
        <v>29</v>
      </c>
      <c r="D677" s="12" t="s">
        <v>35</v>
      </c>
      <c r="E677" s="11">
        <v>267</v>
      </c>
      <c r="F677" s="12">
        <v>10</v>
      </c>
      <c r="G677" s="12">
        <v>20</v>
      </c>
      <c r="H677" s="7">
        <f t="shared" si="43"/>
        <v>5340</v>
      </c>
      <c r="I677" s="7">
        <f t="shared" si="40"/>
        <v>801</v>
      </c>
      <c r="J677" s="7">
        <f t="shared" si="41"/>
        <v>4539</v>
      </c>
      <c r="K677" s="12">
        <v>2670</v>
      </c>
      <c r="L677" s="12">
        <f t="shared" si="42"/>
        <v>1869</v>
      </c>
      <c r="M677" s="13">
        <v>41548</v>
      </c>
      <c r="N677" s="14"/>
      <c r="O677" s="12"/>
      <c r="P677" s="15"/>
    </row>
    <row r="678" spans="1:16" ht="15.75" customHeight="1" x14ac:dyDescent="0.3">
      <c r="A678" s="6" t="s">
        <v>26</v>
      </c>
      <c r="B678" s="6" t="s">
        <v>20</v>
      </c>
      <c r="C678" s="7" t="s">
        <v>29</v>
      </c>
      <c r="D678" s="7" t="s">
        <v>35</v>
      </c>
      <c r="E678" s="6">
        <v>1085</v>
      </c>
      <c r="F678" s="7">
        <v>10</v>
      </c>
      <c r="G678" s="7">
        <v>125</v>
      </c>
      <c r="H678" s="7">
        <f t="shared" si="43"/>
        <v>135625</v>
      </c>
      <c r="I678" s="7">
        <f t="shared" si="40"/>
        <v>20343.75</v>
      </c>
      <c r="J678" s="7">
        <f t="shared" si="41"/>
        <v>115281.25</v>
      </c>
      <c r="K678" s="7">
        <v>130200</v>
      </c>
      <c r="L678" s="12">
        <f t="shared" si="42"/>
        <v>-14918.75</v>
      </c>
      <c r="M678" s="8">
        <v>41913</v>
      </c>
      <c r="N678" s="9"/>
      <c r="O678" s="7"/>
      <c r="P678" s="10"/>
    </row>
    <row r="679" spans="1:16" ht="15.75" customHeight="1" x14ac:dyDescent="0.3">
      <c r="A679" s="11" t="s">
        <v>21</v>
      </c>
      <c r="B679" s="11" t="s">
        <v>20</v>
      </c>
      <c r="C679" s="12" t="s">
        <v>29</v>
      </c>
      <c r="D679" s="12" t="s">
        <v>35</v>
      </c>
      <c r="E679" s="11">
        <v>1175</v>
      </c>
      <c r="F679" s="12">
        <v>10</v>
      </c>
      <c r="G679" s="12">
        <v>15</v>
      </c>
      <c r="H679" s="7">
        <f t="shared" si="43"/>
        <v>17625</v>
      </c>
      <c r="I679" s="7">
        <f t="shared" si="40"/>
        <v>2643.75</v>
      </c>
      <c r="J679" s="7">
        <f t="shared" si="41"/>
        <v>14981.25</v>
      </c>
      <c r="K679" s="12">
        <v>11750</v>
      </c>
      <c r="L679" s="12">
        <f t="shared" si="42"/>
        <v>3231.25</v>
      </c>
      <c r="M679" s="13">
        <v>41913</v>
      </c>
      <c r="N679" s="14"/>
      <c r="O679" s="12"/>
      <c r="P679" s="15"/>
    </row>
    <row r="680" spans="1:16" ht="15.75" customHeight="1" x14ac:dyDescent="0.3">
      <c r="A680" s="6" t="s">
        <v>16</v>
      </c>
      <c r="B680" s="6" t="s">
        <v>28</v>
      </c>
      <c r="C680" s="7" t="s">
        <v>29</v>
      </c>
      <c r="D680" s="7" t="s">
        <v>35</v>
      </c>
      <c r="E680" s="6">
        <v>2007</v>
      </c>
      <c r="F680" s="7">
        <v>10</v>
      </c>
      <c r="G680" s="7">
        <v>350</v>
      </c>
      <c r="H680" s="7">
        <f t="shared" si="43"/>
        <v>702450</v>
      </c>
      <c r="I680" s="7">
        <f t="shared" si="40"/>
        <v>105367.5</v>
      </c>
      <c r="J680" s="7">
        <f t="shared" si="41"/>
        <v>597082.5</v>
      </c>
      <c r="K680" s="7">
        <v>521820</v>
      </c>
      <c r="L680" s="12">
        <f t="shared" si="42"/>
        <v>75262.5</v>
      </c>
      <c r="M680" s="8">
        <v>41579</v>
      </c>
      <c r="N680" s="9"/>
      <c r="O680" s="7"/>
      <c r="P680" s="10"/>
    </row>
    <row r="681" spans="1:16" ht="15.75" customHeight="1" x14ac:dyDescent="0.3">
      <c r="A681" s="11" t="s">
        <v>16</v>
      </c>
      <c r="B681" s="11" t="s">
        <v>23</v>
      </c>
      <c r="C681" s="12" t="s">
        <v>29</v>
      </c>
      <c r="D681" s="12" t="s">
        <v>35</v>
      </c>
      <c r="E681" s="11">
        <v>2151</v>
      </c>
      <c r="F681" s="12">
        <v>10</v>
      </c>
      <c r="G681" s="12">
        <v>350</v>
      </c>
      <c r="H681" s="7">
        <f t="shared" si="43"/>
        <v>752850</v>
      </c>
      <c r="I681" s="7">
        <f t="shared" si="40"/>
        <v>112927.5</v>
      </c>
      <c r="J681" s="7">
        <f t="shared" si="41"/>
        <v>639922.5</v>
      </c>
      <c r="K681" s="12">
        <v>559260</v>
      </c>
      <c r="L681" s="12">
        <f t="shared" si="42"/>
        <v>80662.5</v>
      </c>
      <c r="M681" s="13">
        <v>41579</v>
      </c>
      <c r="N681" s="14"/>
      <c r="O681" s="12"/>
      <c r="P681" s="15"/>
    </row>
    <row r="682" spans="1:16" ht="15.75" customHeight="1" x14ac:dyDescent="0.3">
      <c r="A682" s="6" t="s">
        <v>25</v>
      </c>
      <c r="B682" s="6" t="s">
        <v>28</v>
      </c>
      <c r="C682" s="7" t="s">
        <v>29</v>
      </c>
      <c r="D682" s="7" t="s">
        <v>35</v>
      </c>
      <c r="E682" s="6">
        <v>914</v>
      </c>
      <c r="F682" s="7">
        <v>10</v>
      </c>
      <c r="G682" s="7">
        <v>12</v>
      </c>
      <c r="H682" s="7">
        <f t="shared" si="43"/>
        <v>10968</v>
      </c>
      <c r="I682" s="7">
        <f t="shared" si="40"/>
        <v>1645.2</v>
      </c>
      <c r="J682" s="7">
        <f t="shared" si="41"/>
        <v>9322.7999999999993</v>
      </c>
      <c r="K682" s="7">
        <v>2742</v>
      </c>
      <c r="L682" s="12">
        <f t="shared" si="42"/>
        <v>6580.7999999999993</v>
      </c>
      <c r="M682" s="8">
        <v>41974</v>
      </c>
      <c r="N682" s="9"/>
      <c r="O682" s="7"/>
      <c r="P682" s="10"/>
    </row>
    <row r="683" spans="1:16" ht="15.75" customHeight="1" x14ac:dyDescent="0.3">
      <c r="A683" s="11" t="s">
        <v>16</v>
      </c>
      <c r="B683" s="11" t="s">
        <v>22</v>
      </c>
      <c r="C683" s="12" t="s">
        <v>29</v>
      </c>
      <c r="D683" s="12" t="s">
        <v>35</v>
      </c>
      <c r="E683" s="11">
        <v>293</v>
      </c>
      <c r="F683" s="12">
        <v>10</v>
      </c>
      <c r="G683" s="12">
        <v>20</v>
      </c>
      <c r="H683" s="7">
        <f t="shared" si="43"/>
        <v>5860</v>
      </c>
      <c r="I683" s="7">
        <f t="shared" si="40"/>
        <v>879</v>
      </c>
      <c r="J683" s="7">
        <f t="shared" si="41"/>
        <v>4981</v>
      </c>
      <c r="K683" s="12">
        <v>2930</v>
      </c>
      <c r="L683" s="12">
        <f t="shared" si="42"/>
        <v>2051</v>
      </c>
      <c r="M683" s="13">
        <v>41974</v>
      </c>
      <c r="N683" s="14"/>
      <c r="O683" s="12"/>
      <c r="P683" s="15"/>
    </row>
    <row r="684" spans="1:16" ht="15.75" customHeight="1" x14ac:dyDescent="0.3">
      <c r="A684" s="6" t="s">
        <v>25</v>
      </c>
      <c r="B684" s="6" t="s">
        <v>23</v>
      </c>
      <c r="C684" s="7" t="s">
        <v>30</v>
      </c>
      <c r="D684" s="7" t="s">
        <v>35</v>
      </c>
      <c r="E684" s="6">
        <v>500</v>
      </c>
      <c r="F684" s="7">
        <v>120</v>
      </c>
      <c r="G684" s="7">
        <v>12</v>
      </c>
      <c r="H684" s="7">
        <f t="shared" si="43"/>
        <v>6000</v>
      </c>
      <c r="I684" s="7">
        <f t="shared" si="40"/>
        <v>900</v>
      </c>
      <c r="J684" s="7">
        <f t="shared" si="41"/>
        <v>5100</v>
      </c>
      <c r="K684" s="7">
        <v>1500</v>
      </c>
      <c r="L684" s="12">
        <f t="shared" si="42"/>
        <v>3600</v>
      </c>
      <c r="M684" s="8">
        <v>41699</v>
      </c>
      <c r="N684" s="9"/>
      <c r="O684" s="7"/>
      <c r="P684" s="10"/>
    </row>
    <row r="685" spans="1:16" ht="15.75" customHeight="1" x14ac:dyDescent="0.3">
      <c r="A685" s="11" t="s">
        <v>21</v>
      </c>
      <c r="B685" s="11" t="s">
        <v>22</v>
      </c>
      <c r="C685" s="12" t="s">
        <v>30</v>
      </c>
      <c r="D685" s="12" t="s">
        <v>35</v>
      </c>
      <c r="E685" s="11">
        <v>2826</v>
      </c>
      <c r="F685" s="12">
        <v>120</v>
      </c>
      <c r="G685" s="12">
        <v>15</v>
      </c>
      <c r="H685" s="7">
        <f t="shared" si="43"/>
        <v>42390</v>
      </c>
      <c r="I685" s="7">
        <f t="shared" si="40"/>
        <v>6358.5</v>
      </c>
      <c r="J685" s="7">
        <f t="shared" si="41"/>
        <v>36031.5</v>
      </c>
      <c r="K685" s="12">
        <v>28260</v>
      </c>
      <c r="L685" s="12">
        <f t="shared" si="42"/>
        <v>7771.5</v>
      </c>
      <c r="M685" s="13">
        <v>41760</v>
      </c>
      <c r="N685" s="14"/>
      <c r="O685" s="12"/>
      <c r="P685" s="15"/>
    </row>
    <row r="686" spans="1:16" ht="15.75" customHeight="1" x14ac:dyDescent="0.3">
      <c r="A686" s="6" t="s">
        <v>26</v>
      </c>
      <c r="B686" s="6" t="s">
        <v>22</v>
      </c>
      <c r="C686" s="7" t="s">
        <v>30</v>
      </c>
      <c r="D686" s="7" t="s">
        <v>35</v>
      </c>
      <c r="E686" s="6">
        <v>663</v>
      </c>
      <c r="F686" s="7">
        <v>120</v>
      </c>
      <c r="G686" s="7">
        <v>125</v>
      </c>
      <c r="H686" s="7">
        <f t="shared" si="43"/>
        <v>82875</v>
      </c>
      <c r="I686" s="7">
        <f t="shared" si="40"/>
        <v>12431.25</v>
      </c>
      <c r="J686" s="7">
        <f t="shared" si="41"/>
        <v>70443.75</v>
      </c>
      <c r="K686" s="7">
        <v>79560</v>
      </c>
      <c r="L686" s="12">
        <f t="shared" si="42"/>
        <v>-9116.25</v>
      </c>
      <c r="M686" s="8">
        <v>41883</v>
      </c>
      <c r="N686" s="9"/>
      <c r="O686" s="7"/>
      <c r="P686" s="10"/>
    </row>
    <row r="687" spans="1:16" ht="15.75" customHeight="1" x14ac:dyDescent="0.3">
      <c r="A687" s="11" t="s">
        <v>27</v>
      </c>
      <c r="B687" s="11" t="s">
        <v>28</v>
      </c>
      <c r="C687" s="12" t="s">
        <v>30</v>
      </c>
      <c r="D687" s="12" t="s">
        <v>35</v>
      </c>
      <c r="E687" s="11">
        <v>2574</v>
      </c>
      <c r="F687" s="12">
        <v>120</v>
      </c>
      <c r="G687" s="12">
        <v>300</v>
      </c>
      <c r="H687" s="7">
        <f t="shared" si="43"/>
        <v>772200</v>
      </c>
      <c r="I687" s="7">
        <f t="shared" si="40"/>
        <v>115830</v>
      </c>
      <c r="J687" s="7">
        <f t="shared" si="41"/>
        <v>656370</v>
      </c>
      <c r="K687" s="12">
        <v>643500</v>
      </c>
      <c r="L687" s="12">
        <f t="shared" si="42"/>
        <v>12870</v>
      </c>
      <c r="M687" s="13">
        <v>41579</v>
      </c>
      <c r="N687" s="14"/>
      <c r="O687" s="12"/>
      <c r="P687" s="15"/>
    </row>
    <row r="688" spans="1:16" ht="15.75" customHeight="1" x14ac:dyDescent="0.3">
      <c r="A688" s="6" t="s">
        <v>26</v>
      </c>
      <c r="B688" s="6" t="s">
        <v>28</v>
      </c>
      <c r="C688" s="7" t="s">
        <v>30</v>
      </c>
      <c r="D688" s="7" t="s">
        <v>35</v>
      </c>
      <c r="E688" s="6">
        <v>2438</v>
      </c>
      <c r="F688" s="7">
        <v>120</v>
      </c>
      <c r="G688" s="7">
        <v>125</v>
      </c>
      <c r="H688" s="7">
        <f t="shared" si="43"/>
        <v>304750</v>
      </c>
      <c r="I688" s="7">
        <f t="shared" si="40"/>
        <v>45712.5</v>
      </c>
      <c r="J688" s="7">
        <f t="shared" si="41"/>
        <v>259037.5</v>
      </c>
      <c r="K688" s="7">
        <v>292560</v>
      </c>
      <c r="L688" s="12">
        <f t="shared" si="42"/>
        <v>-33522.5</v>
      </c>
      <c r="M688" s="8">
        <v>41609</v>
      </c>
      <c r="N688" s="9"/>
      <c r="O688" s="7"/>
      <c r="P688" s="10"/>
    </row>
    <row r="689" spans="1:16" ht="15.75" customHeight="1" x14ac:dyDescent="0.3">
      <c r="A689" s="11" t="s">
        <v>25</v>
      </c>
      <c r="B689" s="11" t="s">
        <v>28</v>
      </c>
      <c r="C689" s="12" t="s">
        <v>30</v>
      </c>
      <c r="D689" s="12" t="s">
        <v>35</v>
      </c>
      <c r="E689" s="11">
        <v>914</v>
      </c>
      <c r="F689" s="12">
        <v>120</v>
      </c>
      <c r="G689" s="12">
        <v>12</v>
      </c>
      <c r="H689" s="7">
        <f t="shared" si="43"/>
        <v>10968</v>
      </c>
      <c r="I689" s="7">
        <f t="shared" si="40"/>
        <v>1645.2</v>
      </c>
      <c r="J689" s="7">
        <f t="shared" si="41"/>
        <v>9322.7999999999993</v>
      </c>
      <c r="K689" s="12">
        <v>2742</v>
      </c>
      <c r="L689" s="12">
        <f t="shared" si="42"/>
        <v>6580.7999999999993</v>
      </c>
      <c r="M689" s="13">
        <v>41974</v>
      </c>
      <c r="N689" s="14"/>
      <c r="O689" s="12"/>
      <c r="P689" s="15"/>
    </row>
    <row r="690" spans="1:16" ht="15.75" customHeight="1" x14ac:dyDescent="0.3">
      <c r="A690" s="6" t="s">
        <v>16</v>
      </c>
      <c r="B690" s="6" t="s">
        <v>17</v>
      </c>
      <c r="C690" s="7" t="s">
        <v>31</v>
      </c>
      <c r="D690" s="7" t="s">
        <v>35</v>
      </c>
      <c r="E690" s="6">
        <v>865.5</v>
      </c>
      <c r="F690" s="7">
        <v>250</v>
      </c>
      <c r="G690" s="7">
        <v>20</v>
      </c>
      <c r="H690" s="7">
        <f t="shared" si="43"/>
        <v>17310</v>
      </c>
      <c r="I690" s="7">
        <f t="shared" si="40"/>
        <v>2596.5</v>
      </c>
      <c r="J690" s="7">
        <f t="shared" si="41"/>
        <v>14713.5</v>
      </c>
      <c r="K690" s="7">
        <v>8655</v>
      </c>
      <c r="L690" s="12">
        <f t="shared" si="42"/>
        <v>6058.5</v>
      </c>
      <c r="M690" s="8">
        <v>41821</v>
      </c>
      <c r="N690" s="9"/>
      <c r="O690" s="7"/>
      <c r="P690" s="10"/>
    </row>
    <row r="691" spans="1:16" ht="15.75" customHeight="1" x14ac:dyDescent="0.3">
      <c r="A691" s="11" t="s">
        <v>21</v>
      </c>
      <c r="B691" s="11" t="s">
        <v>20</v>
      </c>
      <c r="C691" s="12" t="s">
        <v>31</v>
      </c>
      <c r="D691" s="12" t="s">
        <v>35</v>
      </c>
      <c r="E691" s="11">
        <v>492</v>
      </c>
      <c r="F691" s="12">
        <v>250</v>
      </c>
      <c r="G691" s="12">
        <v>15</v>
      </c>
      <c r="H691" s="7">
        <f t="shared" si="43"/>
        <v>7380</v>
      </c>
      <c r="I691" s="7">
        <f t="shared" si="40"/>
        <v>1107</v>
      </c>
      <c r="J691" s="7">
        <f t="shared" si="41"/>
        <v>6273</v>
      </c>
      <c r="K691" s="12">
        <v>4920</v>
      </c>
      <c r="L691" s="12">
        <f t="shared" si="42"/>
        <v>1353</v>
      </c>
      <c r="M691" s="13">
        <v>41821</v>
      </c>
      <c r="N691" s="14"/>
      <c r="O691" s="12"/>
      <c r="P691" s="15"/>
    </row>
    <row r="692" spans="1:16" ht="15.75" customHeight="1" x14ac:dyDescent="0.3">
      <c r="A692" s="6" t="s">
        <v>16</v>
      </c>
      <c r="B692" s="6" t="s">
        <v>28</v>
      </c>
      <c r="C692" s="7" t="s">
        <v>31</v>
      </c>
      <c r="D692" s="7" t="s">
        <v>35</v>
      </c>
      <c r="E692" s="6">
        <v>267</v>
      </c>
      <c r="F692" s="7">
        <v>250</v>
      </c>
      <c r="G692" s="7">
        <v>20</v>
      </c>
      <c r="H692" s="7">
        <f t="shared" si="43"/>
        <v>5340</v>
      </c>
      <c r="I692" s="7">
        <f t="shared" si="40"/>
        <v>801</v>
      </c>
      <c r="J692" s="7">
        <f t="shared" si="41"/>
        <v>4539</v>
      </c>
      <c r="K692" s="7">
        <v>2670</v>
      </c>
      <c r="L692" s="12">
        <f t="shared" si="42"/>
        <v>1869</v>
      </c>
      <c r="M692" s="8">
        <v>41548</v>
      </c>
      <c r="N692" s="9"/>
      <c r="O692" s="7"/>
      <c r="P692" s="10"/>
    </row>
    <row r="693" spans="1:16" ht="15.75" customHeight="1" x14ac:dyDescent="0.3">
      <c r="A693" s="11" t="s">
        <v>21</v>
      </c>
      <c r="B693" s="11" t="s">
        <v>20</v>
      </c>
      <c r="C693" s="12" t="s">
        <v>31</v>
      </c>
      <c r="D693" s="12" t="s">
        <v>35</v>
      </c>
      <c r="E693" s="11">
        <v>1175</v>
      </c>
      <c r="F693" s="12">
        <v>250</v>
      </c>
      <c r="G693" s="12">
        <v>15</v>
      </c>
      <c r="H693" s="7">
        <f t="shared" si="43"/>
        <v>17625</v>
      </c>
      <c r="I693" s="7">
        <f t="shared" si="40"/>
        <v>2643.75</v>
      </c>
      <c r="J693" s="7">
        <f t="shared" si="41"/>
        <v>14981.25</v>
      </c>
      <c r="K693" s="12">
        <v>11750</v>
      </c>
      <c r="L693" s="12">
        <f t="shared" si="42"/>
        <v>3231.25</v>
      </c>
      <c r="M693" s="13">
        <v>41913</v>
      </c>
      <c r="N693" s="14"/>
      <c r="O693" s="12"/>
      <c r="P693" s="15"/>
    </row>
    <row r="694" spans="1:16" ht="15.75" customHeight="1" x14ac:dyDescent="0.3">
      <c r="A694" s="6" t="s">
        <v>26</v>
      </c>
      <c r="B694" s="6" t="s">
        <v>17</v>
      </c>
      <c r="C694" s="7" t="s">
        <v>31</v>
      </c>
      <c r="D694" s="7" t="s">
        <v>35</v>
      </c>
      <c r="E694" s="6">
        <v>2954</v>
      </c>
      <c r="F694" s="7">
        <v>250</v>
      </c>
      <c r="G694" s="7">
        <v>125</v>
      </c>
      <c r="H694" s="7">
        <f t="shared" si="43"/>
        <v>369250</v>
      </c>
      <c r="I694" s="7">
        <f t="shared" si="40"/>
        <v>55387.5</v>
      </c>
      <c r="J694" s="7">
        <f t="shared" si="41"/>
        <v>313862.5</v>
      </c>
      <c r="K694" s="7">
        <v>354480</v>
      </c>
      <c r="L694" s="12">
        <f t="shared" si="42"/>
        <v>-40617.5</v>
      </c>
      <c r="M694" s="8">
        <v>41579</v>
      </c>
      <c r="N694" s="9"/>
      <c r="O694" s="7"/>
      <c r="P694" s="10"/>
    </row>
    <row r="695" spans="1:16" ht="15.75" customHeight="1" x14ac:dyDescent="0.3">
      <c r="A695" s="11" t="s">
        <v>26</v>
      </c>
      <c r="B695" s="11" t="s">
        <v>20</v>
      </c>
      <c r="C695" s="12" t="s">
        <v>31</v>
      </c>
      <c r="D695" s="12" t="s">
        <v>35</v>
      </c>
      <c r="E695" s="11">
        <v>552</v>
      </c>
      <c r="F695" s="12">
        <v>250</v>
      </c>
      <c r="G695" s="12">
        <v>125</v>
      </c>
      <c r="H695" s="7">
        <f t="shared" si="43"/>
        <v>69000</v>
      </c>
      <c r="I695" s="7">
        <f t="shared" si="40"/>
        <v>10350</v>
      </c>
      <c r="J695" s="7">
        <f t="shared" si="41"/>
        <v>58650</v>
      </c>
      <c r="K695" s="12">
        <v>66240</v>
      </c>
      <c r="L695" s="12">
        <f t="shared" si="42"/>
        <v>-7590</v>
      </c>
      <c r="M695" s="13">
        <v>41944</v>
      </c>
      <c r="N695" s="14"/>
      <c r="O695" s="12"/>
      <c r="P695" s="15"/>
    </row>
    <row r="696" spans="1:16" ht="15.75" customHeight="1" x14ac:dyDescent="0.3">
      <c r="A696" s="6" t="s">
        <v>16</v>
      </c>
      <c r="B696" s="6" t="s">
        <v>22</v>
      </c>
      <c r="C696" s="7" t="s">
        <v>31</v>
      </c>
      <c r="D696" s="7" t="s">
        <v>35</v>
      </c>
      <c r="E696" s="6">
        <v>293</v>
      </c>
      <c r="F696" s="7">
        <v>250</v>
      </c>
      <c r="G696" s="7">
        <v>20</v>
      </c>
      <c r="H696" s="7">
        <f t="shared" si="43"/>
        <v>5860</v>
      </c>
      <c r="I696" s="7">
        <f t="shared" si="40"/>
        <v>879</v>
      </c>
      <c r="J696" s="7">
        <f t="shared" si="41"/>
        <v>4981</v>
      </c>
      <c r="K696" s="7">
        <v>2930</v>
      </c>
      <c r="L696" s="12">
        <f t="shared" si="42"/>
        <v>2051</v>
      </c>
      <c r="M696" s="8">
        <v>41974</v>
      </c>
      <c r="N696" s="9"/>
      <c r="O696" s="7"/>
      <c r="P696" s="10"/>
    </row>
    <row r="697" spans="1:16" ht="15.75" customHeight="1" x14ac:dyDescent="0.3">
      <c r="A697" s="11" t="s">
        <v>27</v>
      </c>
      <c r="B697" s="11" t="s">
        <v>22</v>
      </c>
      <c r="C697" s="12" t="s">
        <v>32</v>
      </c>
      <c r="D697" s="12" t="s">
        <v>35</v>
      </c>
      <c r="E697" s="11">
        <v>2475</v>
      </c>
      <c r="F697" s="12">
        <v>260</v>
      </c>
      <c r="G697" s="12">
        <v>300</v>
      </c>
      <c r="H697" s="7">
        <f t="shared" si="43"/>
        <v>742500</v>
      </c>
      <c r="I697" s="7">
        <f t="shared" si="40"/>
        <v>111375</v>
      </c>
      <c r="J697" s="7">
        <f t="shared" si="41"/>
        <v>631125</v>
      </c>
      <c r="K697" s="12">
        <v>618750</v>
      </c>
      <c r="L697" s="12">
        <f t="shared" si="42"/>
        <v>12375</v>
      </c>
      <c r="M697" s="13">
        <v>41699</v>
      </c>
      <c r="N697" s="14"/>
      <c r="O697" s="12"/>
      <c r="P697" s="15"/>
    </row>
    <row r="698" spans="1:16" ht="15.75" customHeight="1" x14ac:dyDescent="0.3">
      <c r="A698" s="6" t="s">
        <v>27</v>
      </c>
      <c r="B698" s="6" t="s">
        <v>23</v>
      </c>
      <c r="C698" s="7" t="s">
        <v>32</v>
      </c>
      <c r="D698" s="7" t="s">
        <v>35</v>
      </c>
      <c r="E698" s="6">
        <v>546</v>
      </c>
      <c r="F698" s="7">
        <v>260</v>
      </c>
      <c r="G698" s="7">
        <v>300</v>
      </c>
      <c r="H698" s="7">
        <f t="shared" si="43"/>
        <v>163800</v>
      </c>
      <c r="I698" s="7">
        <f t="shared" si="40"/>
        <v>24570</v>
      </c>
      <c r="J698" s="7">
        <f t="shared" si="41"/>
        <v>139230</v>
      </c>
      <c r="K698" s="7">
        <v>136500</v>
      </c>
      <c r="L698" s="12">
        <f t="shared" si="42"/>
        <v>2730</v>
      </c>
      <c r="M698" s="8">
        <v>41913</v>
      </c>
      <c r="N698" s="9"/>
      <c r="O698" s="7"/>
      <c r="P698" s="10"/>
    </row>
    <row r="699" spans="1:16" ht="15.75" customHeight="1" x14ac:dyDescent="0.3">
      <c r="A699" s="11" t="s">
        <v>16</v>
      </c>
      <c r="B699" s="11" t="s">
        <v>23</v>
      </c>
      <c r="C699" s="12" t="s">
        <v>24</v>
      </c>
      <c r="D699" s="12" t="s">
        <v>35</v>
      </c>
      <c r="E699" s="11">
        <v>1368</v>
      </c>
      <c r="F699" s="12">
        <v>5</v>
      </c>
      <c r="G699" s="12">
        <v>7</v>
      </c>
      <c r="H699" s="7">
        <f t="shared" si="43"/>
        <v>9576</v>
      </c>
      <c r="I699" s="7">
        <f t="shared" si="40"/>
        <v>1436.3999999999999</v>
      </c>
      <c r="J699" s="7">
        <f t="shared" si="41"/>
        <v>8139.6</v>
      </c>
      <c r="K699" s="12">
        <v>6840</v>
      </c>
      <c r="L699" s="12">
        <f t="shared" si="42"/>
        <v>1299.6000000000004</v>
      </c>
      <c r="M699" s="13">
        <v>41671</v>
      </c>
      <c r="N699" s="14"/>
      <c r="O699" s="12"/>
      <c r="P699" s="15"/>
    </row>
    <row r="700" spans="1:16" ht="15.75" customHeight="1" x14ac:dyDescent="0.3">
      <c r="A700" s="6" t="s">
        <v>16</v>
      </c>
      <c r="B700" s="6" t="s">
        <v>17</v>
      </c>
      <c r="C700" s="7" t="s">
        <v>29</v>
      </c>
      <c r="D700" s="7" t="s">
        <v>35</v>
      </c>
      <c r="E700" s="6">
        <v>723</v>
      </c>
      <c r="F700" s="7">
        <v>10</v>
      </c>
      <c r="G700" s="7">
        <v>7</v>
      </c>
      <c r="H700" s="7">
        <f t="shared" si="43"/>
        <v>5061</v>
      </c>
      <c r="I700" s="7">
        <f t="shared" si="40"/>
        <v>759.15</v>
      </c>
      <c r="J700" s="7">
        <f t="shared" si="41"/>
        <v>4301.8500000000004</v>
      </c>
      <c r="K700" s="7">
        <v>3615</v>
      </c>
      <c r="L700" s="12">
        <f t="shared" si="42"/>
        <v>686.85000000000036</v>
      </c>
      <c r="M700" s="8">
        <v>41730</v>
      </c>
      <c r="N700" s="9"/>
      <c r="O700" s="7"/>
      <c r="P700" s="10"/>
    </row>
    <row r="701" spans="1:16" ht="15.75" customHeight="1" x14ac:dyDescent="0.3">
      <c r="A701" s="11" t="s">
        <v>25</v>
      </c>
      <c r="B701" s="11" t="s">
        <v>28</v>
      </c>
      <c r="C701" s="12" t="s">
        <v>31</v>
      </c>
      <c r="D701" s="12" t="s">
        <v>35</v>
      </c>
      <c r="E701" s="11">
        <v>1806</v>
      </c>
      <c r="F701" s="12">
        <v>250</v>
      </c>
      <c r="G701" s="12">
        <v>12</v>
      </c>
      <c r="H701" s="7">
        <f t="shared" si="43"/>
        <v>21672</v>
      </c>
      <c r="I701" s="7">
        <f t="shared" si="40"/>
        <v>3250.7999999999997</v>
      </c>
      <c r="J701" s="7">
        <f t="shared" si="41"/>
        <v>18421.2</v>
      </c>
      <c r="K701" s="12">
        <v>5418</v>
      </c>
      <c r="L701" s="12">
        <f t="shared" si="42"/>
        <v>13003.2</v>
      </c>
      <c r="M701" s="13">
        <v>41760</v>
      </c>
      <c r="N701" s="14"/>
      <c r="O701" s="12"/>
      <c r="P701" s="15"/>
    </row>
    <row r="702" spans="1:16" ht="15.75" customHeight="1" x14ac:dyDescent="0.3">
      <c r="C702" s="16"/>
      <c r="E702" s="17"/>
      <c r="F702" s="17"/>
      <c r="G702" s="17"/>
      <c r="H702" s="17"/>
      <c r="I702" s="17"/>
      <c r="J702" s="17"/>
      <c r="M702" s="18"/>
      <c r="N702" s="19"/>
      <c r="P702" s="20"/>
    </row>
    <row r="703" spans="1:16" ht="15.75" customHeight="1" x14ac:dyDescent="0.3">
      <c r="C703" s="16"/>
      <c r="E703" s="17"/>
      <c r="F703" s="17"/>
      <c r="G703" s="17"/>
      <c r="H703" s="17"/>
      <c r="I703" s="17"/>
      <c r="J703" s="17"/>
      <c r="M703" s="18"/>
      <c r="N703" s="19"/>
      <c r="P703" s="20"/>
    </row>
    <row r="704" spans="1:16" ht="15.75" customHeight="1" x14ac:dyDescent="0.3">
      <c r="C704" s="16"/>
      <c r="E704" s="17"/>
      <c r="F704" s="17"/>
      <c r="G704" s="17"/>
      <c r="H704" s="17"/>
      <c r="I704" s="17"/>
      <c r="J704" s="17"/>
      <c r="M704" s="18"/>
      <c r="N704" s="19"/>
      <c r="P704" s="20"/>
    </row>
    <row r="705" spans="3:16" ht="15.75" customHeight="1" x14ac:dyDescent="0.3">
      <c r="C705" s="16"/>
      <c r="E705" s="17"/>
      <c r="F705" s="17"/>
      <c r="G705" s="17"/>
      <c r="H705" s="17"/>
      <c r="I705" s="17"/>
      <c r="J705" s="17"/>
      <c r="M705" s="18"/>
      <c r="N705" s="19"/>
      <c r="P705" s="20"/>
    </row>
    <row r="706" spans="3:16" ht="15.75" customHeight="1" x14ac:dyDescent="0.3">
      <c r="C706" s="16"/>
      <c r="E706" s="17"/>
      <c r="F706" s="17"/>
      <c r="G706" s="17"/>
      <c r="H706" s="17"/>
      <c r="I706" s="17"/>
      <c r="J706" s="17"/>
      <c r="M706" s="18"/>
      <c r="N706" s="19"/>
      <c r="P706" s="20"/>
    </row>
    <row r="707" spans="3:16" ht="15.75" customHeight="1" x14ac:dyDescent="0.3">
      <c r="C707" s="16"/>
      <c r="E707" s="17"/>
      <c r="F707" s="17"/>
      <c r="G707" s="17"/>
      <c r="H707" s="17"/>
      <c r="I707" s="17"/>
      <c r="J707" s="17"/>
      <c r="M707" s="18"/>
      <c r="N707" s="19"/>
      <c r="P707" s="20"/>
    </row>
    <row r="708" spans="3:16" ht="15.75" customHeight="1" x14ac:dyDescent="0.3">
      <c r="C708" s="16"/>
      <c r="E708" s="17"/>
      <c r="F708" s="17"/>
      <c r="G708" s="17"/>
      <c r="H708" s="17"/>
      <c r="I708" s="17"/>
      <c r="J708" s="17"/>
      <c r="M708" s="18"/>
      <c r="N708" s="19"/>
      <c r="P708" s="20"/>
    </row>
    <row r="709" spans="3:16" ht="15.75" customHeight="1" x14ac:dyDescent="0.3">
      <c r="C709" s="16"/>
      <c r="E709" s="17"/>
      <c r="F709" s="17"/>
      <c r="G709" s="17"/>
      <c r="H709" s="17"/>
      <c r="I709" s="17"/>
      <c r="J709" s="17"/>
      <c r="M709" s="18"/>
      <c r="N709" s="19"/>
      <c r="P709" s="20"/>
    </row>
    <row r="710" spans="3:16" ht="15.75" customHeight="1" x14ac:dyDescent="0.3">
      <c r="C710" s="16"/>
      <c r="E710" s="17"/>
      <c r="F710" s="17"/>
      <c r="G710" s="17"/>
      <c r="H710" s="17"/>
      <c r="I710" s="17"/>
      <c r="J710" s="17"/>
      <c r="M710" s="18"/>
      <c r="N710" s="19"/>
      <c r="P710" s="20"/>
    </row>
    <row r="711" spans="3:16" ht="15.75" customHeight="1" x14ac:dyDescent="0.3">
      <c r="C711" s="16"/>
      <c r="E711" s="17"/>
      <c r="F711" s="17"/>
      <c r="G711" s="17"/>
      <c r="H711" s="17"/>
      <c r="I711" s="17"/>
      <c r="J711" s="17"/>
      <c r="M711" s="18"/>
      <c r="N711" s="19"/>
      <c r="P711" s="20"/>
    </row>
    <row r="712" spans="3:16" ht="15.75" customHeight="1" x14ac:dyDescent="0.3">
      <c r="C712" s="16"/>
      <c r="E712" s="17"/>
      <c r="F712" s="17"/>
      <c r="G712" s="17"/>
      <c r="H712" s="17"/>
      <c r="I712" s="17"/>
      <c r="J712" s="17"/>
      <c r="M712" s="18"/>
      <c r="N712" s="19"/>
      <c r="P712" s="20"/>
    </row>
    <row r="713" spans="3:16" ht="15.75" customHeight="1" x14ac:dyDescent="0.3">
      <c r="C713" s="16"/>
      <c r="E713" s="17"/>
      <c r="F713" s="17"/>
      <c r="G713" s="17"/>
      <c r="H713" s="17"/>
      <c r="I713" s="17"/>
      <c r="J713" s="17"/>
      <c r="M713" s="18"/>
      <c r="N713" s="19"/>
      <c r="P713" s="20"/>
    </row>
    <row r="714" spans="3:16" ht="15.75" customHeight="1" x14ac:dyDescent="0.3">
      <c r="C714" s="16"/>
      <c r="E714" s="17"/>
      <c r="F714" s="17"/>
      <c r="G714" s="17"/>
      <c r="H714" s="17"/>
      <c r="I714" s="17"/>
      <c r="J714" s="17"/>
      <c r="M714" s="18"/>
      <c r="N714" s="19"/>
      <c r="P714" s="20"/>
    </row>
    <row r="715" spans="3:16" ht="15.75" customHeight="1" x14ac:dyDescent="0.3">
      <c r="C715" s="16"/>
      <c r="E715" s="17"/>
      <c r="F715" s="17"/>
      <c r="G715" s="17"/>
      <c r="H715" s="17"/>
      <c r="I715" s="17"/>
      <c r="J715" s="17"/>
      <c r="M715" s="18"/>
      <c r="N715" s="19"/>
      <c r="P715" s="20"/>
    </row>
    <row r="716" spans="3:16" ht="15.75" customHeight="1" x14ac:dyDescent="0.3">
      <c r="C716" s="16"/>
      <c r="E716" s="17"/>
      <c r="F716" s="17"/>
      <c r="G716" s="17"/>
      <c r="H716" s="17"/>
      <c r="I716" s="17"/>
      <c r="J716" s="17"/>
      <c r="M716" s="18"/>
      <c r="N716" s="19"/>
      <c r="P716" s="20"/>
    </row>
    <row r="717" spans="3:16" ht="15.75" customHeight="1" x14ac:dyDescent="0.3">
      <c r="C717" s="16"/>
      <c r="E717" s="17"/>
      <c r="F717" s="17"/>
      <c r="G717" s="17"/>
      <c r="H717" s="17"/>
      <c r="I717" s="17"/>
      <c r="J717" s="17"/>
      <c r="M717" s="18"/>
      <c r="N717" s="19"/>
      <c r="P717" s="20"/>
    </row>
    <row r="718" spans="3:16" ht="15.75" customHeight="1" x14ac:dyDescent="0.3">
      <c r="C718" s="16"/>
      <c r="E718" s="17"/>
      <c r="F718" s="17"/>
      <c r="G718" s="17"/>
      <c r="H718" s="17"/>
      <c r="I718" s="17"/>
      <c r="J718" s="17"/>
      <c r="M718" s="18"/>
      <c r="N718" s="19"/>
      <c r="P718" s="20"/>
    </row>
    <row r="719" spans="3:16" ht="15.75" customHeight="1" x14ac:dyDescent="0.3">
      <c r="C719" s="16"/>
      <c r="E719" s="17"/>
      <c r="F719" s="17"/>
      <c r="G719" s="17"/>
      <c r="H719" s="17"/>
      <c r="I719" s="17"/>
      <c r="J719" s="17"/>
      <c r="M719" s="18"/>
      <c r="N719" s="19"/>
      <c r="P719" s="20"/>
    </row>
    <row r="720" spans="3:16" ht="15.75" customHeight="1" x14ac:dyDescent="0.3">
      <c r="C720" s="16"/>
      <c r="E720" s="17"/>
      <c r="F720" s="17"/>
      <c r="G720" s="17"/>
      <c r="H720" s="17"/>
      <c r="I720" s="17"/>
      <c r="J720" s="17"/>
      <c r="M720" s="18"/>
      <c r="N720" s="19"/>
      <c r="P720" s="20"/>
    </row>
    <row r="721" spans="3:16" ht="15.75" customHeight="1" x14ac:dyDescent="0.3">
      <c r="C721" s="16"/>
      <c r="E721" s="17"/>
      <c r="F721" s="17"/>
      <c r="G721" s="17"/>
      <c r="H721" s="17"/>
      <c r="I721" s="17"/>
      <c r="J721" s="17"/>
      <c r="M721" s="18"/>
      <c r="N721" s="19"/>
      <c r="P721" s="20"/>
    </row>
    <row r="722" spans="3:16" ht="15.75" customHeight="1" x14ac:dyDescent="0.3">
      <c r="C722" s="16"/>
      <c r="E722" s="17"/>
      <c r="F722" s="17"/>
      <c r="G722" s="17"/>
      <c r="H722" s="17"/>
      <c r="I722" s="17"/>
      <c r="J722" s="17"/>
      <c r="M722" s="18"/>
      <c r="N722" s="19"/>
      <c r="P722" s="20"/>
    </row>
    <row r="723" spans="3:16" ht="15.75" customHeight="1" x14ac:dyDescent="0.3">
      <c r="C723" s="16"/>
      <c r="E723" s="17"/>
      <c r="F723" s="17"/>
      <c r="G723" s="17"/>
      <c r="H723" s="17"/>
      <c r="I723" s="17"/>
      <c r="J723" s="17"/>
      <c r="M723" s="18"/>
      <c r="N723" s="19"/>
      <c r="P723" s="20"/>
    </row>
    <row r="724" spans="3:16" ht="15.75" customHeight="1" x14ac:dyDescent="0.3">
      <c r="C724" s="16"/>
      <c r="E724" s="17"/>
      <c r="F724" s="17"/>
      <c r="G724" s="17"/>
      <c r="H724" s="17"/>
      <c r="I724" s="17"/>
      <c r="J724" s="17"/>
      <c r="M724" s="18"/>
      <c r="N724" s="19"/>
      <c r="P724" s="20"/>
    </row>
    <row r="725" spans="3:16" ht="15.75" customHeight="1" x14ac:dyDescent="0.3">
      <c r="C725" s="16"/>
      <c r="E725" s="17"/>
      <c r="F725" s="17"/>
      <c r="G725" s="17"/>
      <c r="H725" s="17"/>
      <c r="I725" s="17"/>
      <c r="J725" s="17"/>
      <c r="M725" s="18"/>
      <c r="N725" s="19"/>
      <c r="P725" s="20"/>
    </row>
    <row r="726" spans="3:16" ht="15.75" customHeight="1" x14ac:dyDescent="0.3">
      <c r="C726" s="16"/>
      <c r="E726" s="17"/>
      <c r="F726" s="17"/>
      <c r="G726" s="17"/>
      <c r="H726" s="17"/>
      <c r="I726" s="17"/>
      <c r="J726" s="17"/>
      <c r="M726" s="18"/>
      <c r="N726" s="19"/>
      <c r="P726" s="20"/>
    </row>
    <row r="727" spans="3:16" ht="15.75" customHeight="1" x14ac:dyDescent="0.3">
      <c r="C727" s="16"/>
      <c r="E727" s="17"/>
      <c r="F727" s="17"/>
      <c r="G727" s="17"/>
      <c r="H727" s="17"/>
      <c r="I727" s="17"/>
      <c r="J727" s="17"/>
      <c r="M727" s="18"/>
      <c r="N727" s="19"/>
      <c r="P727" s="20"/>
    </row>
    <row r="728" spans="3:16" ht="15.75" customHeight="1" x14ac:dyDescent="0.3">
      <c r="C728" s="16"/>
      <c r="E728" s="17"/>
      <c r="F728" s="17"/>
      <c r="G728" s="17"/>
      <c r="H728" s="17"/>
      <c r="I728" s="17"/>
      <c r="J728" s="17"/>
      <c r="M728" s="18"/>
      <c r="N728" s="19"/>
      <c r="P728" s="20"/>
    </row>
    <row r="729" spans="3:16" ht="15.75" customHeight="1" x14ac:dyDescent="0.3">
      <c r="C729" s="16"/>
      <c r="E729" s="17"/>
      <c r="F729" s="17"/>
      <c r="G729" s="17"/>
      <c r="H729" s="17"/>
      <c r="I729" s="17"/>
      <c r="J729" s="17"/>
      <c r="M729" s="18"/>
      <c r="N729" s="19"/>
      <c r="P729" s="20"/>
    </row>
    <row r="730" spans="3:16" ht="15.75" customHeight="1" x14ac:dyDescent="0.3">
      <c r="C730" s="16"/>
      <c r="E730" s="17"/>
      <c r="F730" s="17"/>
      <c r="G730" s="17"/>
      <c r="H730" s="17"/>
      <c r="I730" s="17"/>
      <c r="J730" s="17"/>
      <c r="M730" s="18"/>
      <c r="N730" s="19"/>
      <c r="P730" s="20"/>
    </row>
    <row r="731" spans="3:16" ht="15.75" customHeight="1" x14ac:dyDescent="0.3">
      <c r="C731" s="16"/>
      <c r="E731" s="17"/>
      <c r="F731" s="17"/>
      <c r="G731" s="17"/>
      <c r="H731" s="17"/>
      <c r="I731" s="17"/>
      <c r="J731" s="17"/>
      <c r="M731" s="18"/>
      <c r="N731" s="19"/>
      <c r="P731" s="20"/>
    </row>
    <row r="732" spans="3:16" ht="15.75" customHeight="1" x14ac:dyDescent="0.3">
      <c r="C732" s="16"/>
      <c r="E732" s="17"/>
      <c r="F732" s="17"/>
      <c r="G732" s="17"/>
      <c r="H732" s="17"/>
      <c r="I732" s="17"/>
      <c r="J732" s="17"/>
      <c r="M732" s="18"/>
      <c r="N732" s="19"/>
      <c r="P732" s="20"/>
    </row>
    <row r="733" spans="3:16" ht="15.75" customHeight="1" x14ac:dyDescent="0.3">
      <c r="C733" s="16"/>
      <c r="E733" s="17"/>
      <c r="F733" s="17"/>
      <c r="G733" s="17"/>
      <c r="H733" s="17"/>
      <c r="I733" s="17"/>
      <c r="J733" s="17"/>
      <c r="M733" s="18"/>
      <c r="N733" s="19"/>
      <c r="P733" s="20"/>
    </row>
    <row r="734" spans="3:16" ht="15.75" customHeight="1" x14ac:dyDescent="0.3">
      <c r="C734" s="16"/>
      <c r="E734" s="17"/>
      <c r="F734" s="17"/>
      <c r="G734" s="17"/>
      <c r="H734" s="17"/>
      <c r="I734" s="17"/>
      <c r="J734" s="17"/>
      <c r="M734" s="18"/>
      <c r="N734" s="19"/>
      <c r="P734" s="20"/>
    </row>
    <row r="735" spans="3:16" ht="15.75" customHeight="1" x14ac:dyDescent="0.3">
      <c r="C735" s="16"/>
      <c r="E735" s="17"/>
      <c r="F735" s="17"/>
      <c r="G735" s="17"/>
      <c r="H735" s="17"/>
      <c r="I735" s="17"/>
      <c r="J735" s="17"/>
      <c r="M735" s="18"/>
      <c r="N735" s="19"/>
      <c r="P735" s="20"/>
    </row>
    <row r="736" spans="3:16" ht="15.75" customHeight="1" x14ac:dyDescent="0.3">
      <c r="C736" s="16"/>
      <c r="E736" s="17"/>
      <c r="F736" s="17"/>
      <c r="G736" s="17"/>
      <c r="H736" s="17"/>
      <c r="I736" s="17"/>
      <c r="J736" s="17"/>
      <c r="M736" s="18"/>
      <c r="N736" s="19"/>
      <c r="P736" s="20"/>
    </row>
    <row r="737" spans="3:16" ht="15.75" customHeight="1" x14ac:dyDescent="0.3">
      <c r="C737" s="16"/>
      <c r="E737" s="17"/>
      <c r="F737" s="17"/>
      <c r="G737" s="17"/>
      <c r="H737" s="17"/>
      <c r="I737" s="17"/>
      <c r="J737" s="17"/>
      <c r="M737" s="18"/>
      <c r="N737" s="19"/>
      <c r="P737" s="20"/>
    </row>
    <row r="738" spans="3:16" ht="15.75" customHeight="1" x14ac:dyDescent="0.3">
      <c r="C738" s="16"/>
      <c r="E738" s="17"/>
      <c r="F738" s="17"/>
      <c r="G738" s="17"/>
      <c r="H738" s="17"/>
      <c r="I738" s="17"/>
      <c r="J738" s="17"/>
      <c r="M738" s="18"/>
      <c r="N738" s="19"/>
      <c r="P738" s="20"/>
    </row>
    <row r="739" spans="3:16" ht="15.75" customHeight="1" x14ac:dyDescent="0.3">
      <c r="C739" s="16"/>
      <c r="E739" s="17"/>
      <c r="F739" s="17"/>
      <c r="G739" s="17"/>
      <c r="H739" s="17"/>
      <c r="I739" s="17"/>
      <c r="J739" s="17"/>
      <c r="M739" s="18"/>
      <c r="N739" s="19"/>
      <c r="P739" s="20"/>
    </row>
    <row r="740" spans="3:16" ht="15.75" customHeight="1" x14ac:dyDescent="0.3">
      <c r="C740" s="16"/>
      <c r="E740" s="17"/>
      <c r="F740" s="17"/>
      <c r="G740" s="17"/>
      <c r="H740" s="17"/>
      <c r="I740" s="17"/>
      <c r="J740" s="17"/>
      <c r="M740" s="18"/>
      <c r="N740" s="19"/>
      <c r="P740" s="20"/>
    </row>
    <row r="741" spans="3:16" ht="15.75" customHeight="1" x14ac:dyDescent="0.3">
      <c r="C741" s="16"/>
      <c r="E741" s="17"/>
      <c r="F741" s="17"/>
      <c r="G741" s="17"/>
      <c r="H741" s="17"/>
      <c r="I741" s="17"/>
      <c r="J741" s="17"/>
      <c r="M741" s="18"/>
      <c r="N741" s="19"/>
      <c r="P741" s="20"/>
    </row>
    <row r="742" spans="3:16" ht="15.75" customHeight="1" x14ac:dyDescent="0.3">
      <c r="C742" s="16"/>
      <c r="E742" s="17"/>
      <c r="F742" s="17"/>
      <c r="G742" s="17"/>
      <c r="H742" s="17"/>
      <c r="I742" s="17"/>
      <c r="J742" s="17"/>
      <c r="M742" s="18"/>
      <c r="N742" s="19"/>
      <c r="P742" s="20"/>
    </row>
    <row r="743" spans="3:16" ht="15.75" customHeight="1" x14ac:dyDescent="0.3">
      <c r="C743" s="16"/>
      <c r="E743" s="17"/>
      <c r="F743" s="17"/>
      <c r="G743" s="17"/>
      <c r="H743" s="17"/>
      <c r="I743" s="17"/>
      <c r="J743" s="17"/>
      <c r="M743" s="18"/>
      <c r="N743" s="19"/>
      <c r="P743" s="20"/>
    </row>
    <row r="744" spans="3:16" ht="15.75" customHeight="1" x14ac:dyDescent="0.3">
      <c r="C744" s="16"/>
      <c r="E744" s="17"/>
      <c r="F744" s="17"/>
      <c r="G744" s="17"/>
      <c r="H744" s="17"/>
      <c r="I744" s="17"/>
      <c r="J744" s="17"/>
      <c r="M744" s="18"/>
      <c r="N744" s="19"/>
      <c r="P744" s="20"/>
    </row>
    <row r="745" spans="3:16" ht="15.75" customHeight="1" x14ac:dyDescent="0.3">
      <c r="C745" s="16"/>
      <c r="E745" s="17"/>
      <c r="F745" s="17"/>
      <c r="G745" s="17"/>
      <c r="H745" s="17"/>
      <c r="I745" s="17"/>
      <c r="J745" s="17"/>
      <c r="M745" s="18"/>
      <c r="N745" s="19"/>
      <c r="P745" s="20"/>
    </row>
    <row r="746" spans="3:16" ht="15.75" customHeight="1" x14ac:dyDescent="0.3">
      <c r="C746" s="16"/>
      <c r="E746" s="17"/>
      <c r="F746" s="17"/>
      <c r="G746" s="17"/>
      <c r="H746" s="17"/>
      <c r="I746" s="17"/>
      <c r="J746" s="17"/>
      <c r="M746" s="18"/>
      <c r="N746" s="19"/>
      <c r="P746" s="20"/>
    </row>
    <row r="747" spans="3:16" ht="15.75" customHeight="1" x14ac:dyDescent="0.3">
      <c r="C747" s="16"/>
      <c r="E747" s="17"/>
      <c r="F747" s="17"/>
      <c r="G747" s="17"/>
      <c r="H747" s="17"/>
      <c r="I747" s="17"/>
      <c r="J747" s="17"/>
      <c r="M747" s="18"/>
      <c r="N747" s="19"/>
      <c r="P747" s="20"/>
    </row>
    <row r="748" spans="3:16" ht="15.75" customHeight="1" x14ac:dyDescent="0.3">
      <c r="C748" s="16"/>
      <c r="E748" s="17"/>
      <c r="F748" s="17"/>
      <c r="G748" s="17"/>
      <c r="H748" s="17"/>
      <c r="I748" s="17"/>
      <c r="J748" s="17"/>
      <c r="M748" s="18"/>
      <c r="N748" s="19"/>
      <c r="P748" s="20"/>
    </row>
    <row r="749" spans="3:16" ht="15.75" customHeight="1" x14ac:dyDescent="0.3">
      <c r="C749" s="16"/>
      <c r="E749" s="17"/>
      <c r="F749" s="17"/>
      <c r="G749" s="17"/>
      <c r="H749" s="17"/>
      <c r="I749" s="17"/>
      <c r="J749" s="17"/>
      <c r="M749" s="18"/>
      <c r="N749" s="19"/>
      <c r="P749" s="20"/>
    </row>
    <row r="750" spans="3:16" ht="15.75" customHeight="1" x14ac:dyDescent="0.3">
      <c r="C750" s="16"/>
      <c r="E750" s="17"/>
      <c r="F750" s="17"/>
      <c r="G750" s="17"/>
      <c r="H750" s="17"/>
      <c r="I750" s="17"/>
      <c r="J750" s="17"/>
      <c r="M750" s="18"/>
      <c r="N750" s="19"/>
      <c r="P750" s="20"/>
    </row>
    <row r="751" spans="3:16" ht="15.75" customHeight="1" x14ac:dyDescent="0.3">
      <c r="C751" s="16"/>
      <c r="E751" s="17"/>
      <c r="F751" s="17"/>
      <c r="G751" s="17"/>
      <c r="H751" s="17"/>
      <c r="I751" s="17"/>
      <c r="J751" s="17"/>
      <c r="M751" s="18"/>
      <c r="N751" s="19"/>
      <c r="P751" s="20"/>
    </row>
    <row r="752" spans="3:16" ht="15.75" customHeight="1" x14ac:dyDescent="0.3">
      <c r="C752" s="16"/>
      <c r="E752" s="17"/>
      <c r="F752" s="17"/>
      <c r="G752" s="17"/>
      <c r="H752" s="17"/>
      <c r="I752" s="17"/>
      <c r="J752" s="17"/>
      <c r="M752" s="18"/>
      <c r="N752" s="19"/>
      <c r="P752" s="20"/>
    </row>
    <row r="753" spans="3:16" ht="15.75" customHeight="1" x14ac:dyDescent="0.3">
      <c r="C753" s="16"/>
      <c r="E753" s="17"/>
      <c r="F753" s="17"/>
      <c r="G753" s="17"/>
      <c r="H753" s="17"/>
      <c r="I753" s="17"/>
      <c r="J753" s="17"/>
      <c r="M753" s="18"/>
      <c r="N753" s="19"/>
      <c r="P753" s="20"/>
    </row>
    <row r="754" spans="3:16" ht="15.75" customHeight="1" x14ac:dyDescent="0.3">
      <c r="C754" s="16"/>
      <c r="E754" s="17"/>
      <c r="F754" s="17"/>
      <c r="G754" s="17"/>
      <c r="H754" s="17"/>
      <c r="I754" s="17"/>
      <c r="J754" s="17"/>
      <c r="M754" s="18"/>
      <c r="N754" s="19"/>
      <c r="P754" s="20"/>
    </row>
    <row r="755" spans="3:16" ht="15.75" customHeight="1" x14ac:dyDescent="0.3">
      <c r="C755" s="16"/>
      <c r="E755" s="17"/>
      <c r="F755" s="17"/>
      <c r="G755" s="17"/>
      <c r="H755" s="17"/>
      <c r="I755" s="17"/>
      <c r="J755" s="17"/>
      <c r="M755" s="18"/>
      <c r="N755" s="19"/>
      <c r="P755" s="20"/>
    </row>
    <row r="756" spans="3:16" ht="15.75" customHeight="1" x14ac:dyDescent="0.3">
      <c r="C756" s="16"/>
      <c r="E756" s="17"/>
      <c r="F756" s="17"/>
      <c r="G756" s="17"/>
      <c r="H756" s="17"/>
      <c r="I756" s="17"/>
      <c r="J756" s="17"/>
      <c r="M756" s="18"/>
      <c r="N756" s="19"/>
      <c r="P756" s="20"/>
    </row>
    <row r="757" spans="3:16" ht="15.75" customHeight="1" x14ac:dyDescent="0.3">
      <c r="C757" s="16"/>
      <c r="E757" s="17"/>
      <c r="F757" s="17"/>
      <c r="G757" s="17"/>
      <c r="H757" s="17"/>
      <c r="I757" s="17"/>
      <c r="J757" s="17"/>
      <c r="M757" s="18"/>
      <c r="N757" s="19"/>
      <c r="P757" s="20"/>
    </row>
    <row r="758" spans="3:16" ht="15.75" customHeight="1" x14ac:dyDescent="0.3">
      <c r="C758" s="16"/>
      <c r="E758" s="17"/>
      <c r="F758" s="17"/>
      <c r="G758" s="17"/>
      <c r="H758" s="17"/>
      <c r="I758" s="17"/>
      <c r="J758" s="17"/>
      <c r="M758" s="18"/>
      <c r="N758" s="19"/>
      <c r="P758" s="20"/>
    </row>
    <row r="759" spans="3:16" ht="15.75" customHeight="1" x14ac:dyDescent="0.3">
      <c r="C759" s="16"/>
      <c r="E759" s="17"/>
      <c r="F759" s="17"/>
      <c r="G759" s="17"/>
      <c r="H759" s="17"/>
      <c r="I759" s="17"/>
      <c r="J759" s="17"/>
      <c r="M759" s="18"/>
      <c r="N759" s="19"/>
      <c r="P759" s="20"/>
    </row>
    <row r="760" spans="3:16" ht="15.75" customHeight="1" x14ac:dyDescent="0.3">
      <c r="C760" s="16"/>
      <c r="E760" s="17"/>
      <c r="F760" s="17"/>
      <c r="G760" s="17"/>
      <c r="H760" s="17"/>
      <c r="I760" s="17"/>
      <c r="J760" s="17"/>
      <c r="M760" s="18"/>
      <c r="N760" s="19"/>
      <c r="P760" s="20"/>
    </row>
    <row r="761" spans="3:16" ht="15.75" customHeight="1" x14ac:dyDescent="0.3">
      <c r="C761" s="16"/>
      <c r="E761" s="17"/>
      <c r="F761" s="17"/>
      <c r="G761" s="17"/>
      <c r="H761" s="17"/>
      <c r="I761" s="17"/>
      <c r="J761" s="17"/>
      <c r="M761" s="18"/>
      <c r="N761" s="19"/>
      <c r="P761" s="20"/>
    </row>
    <row r="762" spans="3:16" ht="15.75" customHeight="1" x14ac:dyDescent="0.3">
      <c r="C762" s="16"/>
      <c r="E762" s="17"/>
      <c r="F762" s="17"/>
      <c r="G762" s="17"/>
      <c r="H762" s="17"/>
      <c r="I762" s="17"/>
      <c r="J762" s="17"/>
      <c r="M762" s="18"/>
      <c r="N762" s="19"/>
      <c r="P762" s="20"/>
    </row>
    <row r="763" spans="3:16" ht="15.75" customHeight="1" x14ac:dyDescent="0.3">
      <c r="C763" s="16"/>
      <c r="E763" s="17"/>
      <c r="F763" s="17"/>
      <c r="G763" s="17"/>
      <c r="H763" s="17"/>
      <c r="I763" s="17"/>
      <c r="J763" s="17"/>
      <c r="M763" s="18"/>
      <c r="N763" s="19"/>
      <c r="P763" s="20"/>
    </row>
    <row r="764" spans="3:16" ht="15.75" customHeight="1" x14ac:dyDescent="0.3">
      <c r="C764" s="16"/>
      <c r="E764" s="17"/>
      <c r="F764" s="17"/>
      <c r="G764" s="17"/>
      <c r="H764" s="17"/>
      <c r="I764" s="17"/>
      <c r="J764" s="17"/>
      <c r="M764" s="18"/>
      <c r="N764" s="19"/>
      <c r="P764" s="20"/>
    </row>
    <row r="765" spans="3:16" ht="15.75" customHeight="1" x14ac:dyDescent="0.3">
      <c r="C765" s="16"/>
      <c r="E765" s="17"/>
      <c r="F765" s="17"/>
      <c r="G765" s="17"/>
      <c r="H765" s="17"/>
      <c r="I765" s="17"/>
      <c r="J765" s="17"/>
      <c r="M765" s="18"/>
      <c r="N765" s="19"/>
      <c r="P765" s="20"/>
    </row>
    <row r="766" spans="3:16" ht="15.75" customHeight="1" x14ac:dyDescent="0.3">
      <c r="C766" s="16"/>
      <c r="E766" s="17"/>
      <c r="F766" s="17"/>
      <c r="G766" s="17"/>
      <c r="H766" s="17"/>
      <c r="I766" s="17"/>
      <c r="J766" s="17"/>
      <c r="M766" s="18"/>
      <c r="N766" s="19"/>
      <c r="P766" s="20"/>
    </row>
    <row r="767" spans="3:16" ht="15.75" customHeight="1" x14ac:dyDescent="0.3">
      <c r="C767" s="16"/>
      <c r="E767" s="17"/>
      <c r="F767" s="17"/>
      <c r="G767" s="17"/>
      <c r="H767" s="17"/>
      <c r="I767" s="17"/>
      <c r="J767" s="17"/>
      <c r="M767" s="18"/>
      <c r="N767" s="19"/>
      <c r="P767" s="20"/>
    </row>
    <row r="768" spans="3:16" ht="15.75" customHeight="1" x14ac:dyDescent="0.3">
      <c r="C768" s="16"/>
      <c r="E768" s="17"/>
      <c r="F768" s="17"/>
      <c r="G768" s="17"/>
      <c r="H768" s="17"/>
      <c r="I768" s="17"/>
      <c r="J768" s="17"/>
      <c r="M768" s="18"/>
      <c r="N768" s="19"/>
      <c r="P768" s="20"/>
    </row>
    <row r="769" spans="3:16" ht="15.75" customHeight="1" x14ac:dyDescent="0.3">
      <c r="C769" s="16"/>
      <c r="E769" s="17"/>
      <c r="F769" s="17"/>
      <c r="G769" s="17"/>
      <c r="H769" s="17"/>
      <c r="I769" s="17"/>
      <c r="J769" s="17"/>
      <c r="M769" s="18"/>
      <c r="N769" s="19"/>
      <c r="P769" s="20"/>
    </row>
    <row r="770" spans="3:16" ht="15.75" customHeight="1" x14ac:dyDescent="0.3">
      <c r="C770" s="16"/>
      <c r="E770" s="17"/>
      <c r="F770" s="17"/>
      <c r="G770" s="17"/>
      <c r="H770" s="17"/>
      <c r="I770" s="17"/>
      <c r="J770" s="17"/>
      <c r="M770" s="18"/>
      <c r="N770" s="19"/>
      <c r="P770" s="20"/>
    </row>
    <row r="771" spans="3:16" ht="15.75" customHeight="1" x14ac:dyDescent="0.3">
      <c r="C771" s="16"/>
      <c r="E771" s="17"/>
      <c r="F771" s="17"/>
      <c r="G771" s="17"/>
      <c r="H771" s="17"/>
      <c r="I771" s="17"/>
      <c r="J771" s="17"/>
      <c r="M771" s="18"/>
      <c r="N771" s="19"/>
      <c r="P771" s="20"/>
    </row>
    <row r="772" spans="3:16" ht="15.75" customHeight="1" x14ac:dyDescent="0.3">
      <c r="C772" s="16"/>
      <c r="E772" s="17"/>
      <c r="F772" s="17"/>
      <c r="G772" s="17"/>
      <c r="H772" s="17"/>
      <c r="I772" s="17"/>
      <c r="J772" s="17"/>
      <c r="M772" s="18"/>
      <c r="N772" s="19"/>
      <c r="P772" s="20"/>
    </row>
    <row r="773" spans="3:16" ht="15.75" customHeight="1" x14ac:dyDescent="0.3">
      <c r="C773" s="16"/>
      <c r="E773" s="17"/>
      <c r="F773" s="17"/>
      <c r="G773" s="17"/>
      <c r="H773" s="17"/>
      <c r="I773" s="17"/>
      <c r="J773" s="17"/>
      <c r="M773" s="18"/>
      <c r="N773" s="19"/>
      <c r="P773" s="20"/>
    </row>
    <row r="774" spans="3:16" ht="15.75" customHeight="1" x14ac:dyDescent="0.3">
      <c r="C774" s="16"/>
      <c r="E774" s="17"/>
      <c r="F774" s="17"/>
      <c r="G774" s="17"/>
      <c r="H774" s="17"/>
      <c r="I774" s="17"/>
      <c r="J774" s="17"/>
      <c r="M774" s="18"/>
      <c r="N774" s="19"/>
      <c r="P774" s="20"/>
    </row>
    <row r="775" spans="3:16" ht="15.75" customHeight="1" x14ac:dyDescent="0.3">
      <c r="C775" s="16"/>
      <c r="E775" s="17"/>
      <c r="F775" s="17"/>
      <c r="G775" s="17"/>
      <c r="H775" s="17"/>
      <c r="I775" s="17"/>
      <c r="J775" s="17"/>
      <c r="M775" s="18"/>
      <c r="N775" s="19"/>
      <c r="P775" s="20"/>
    </row>
    <row r="776" spans="3:16" ht="15.75" customHeight="1" x14ac:dyDescent="0.3">
      <c r="C776" s="16"/>
      <c r="E776" s="17"/>
      <c r="F776" s="17"/>
      <c r="G776" s="17"/>
      <c r="H776" s="17"/>
      <c r="I776" s="17"/>
      <c r="J776" s="17"/>
      <c r="M776" s="18"/>
      <c r="N776" s="19"/>
      <c r="P776" s="20"/>
    </row>
    <row r="777" spans="3:16" ht="15.75" customHeight="1" x14ac:dyDescent="0.3">
      <c r="C777" s="16"/>
      <c r="E777" s="17"/>
      <c r="F777" s="17"/>
      <c r="G777" s="17"/>
      <c r="H777" s="17"/>
      <c r="I777" s="17"/>
      <c r="J777" s="17"/>
      <c r="M777" s="18"/>
      <c r="N777" s="19"/>
      <c r="P777" s="20"/>
    </row>
    <row r="778" spans="3:16" ht="15.75" customHeight="1" x14ac:dyDescent="0.3">
      <c r="C778" s="16"/>
      <c r="E778" s="17"/>
      <c r="F778" s="17"/>
      <c r="G778" s="17"/>
      <c r="H778" s="17"/>
      <c r="I778" s="17"/>
      <c r="J778" s="17"/>
      <c r="M778" s="18"/>
      <c r="N778" s="19"/>
      <c r="P778" s="20"/>
    </row>
    <row r="779" spans="3:16" ht="15.75" customHeight="1" x14ac:dyDescent="0.3">
      <c r="C779" s="16"/>
      <c r="E779" s="17"/>
      <c r="F779" s="17"/>
      <c r="G779" s="17"/>
      <c r="H779" s="17"/>
      <c r="I779" s="17"/>
      <c r="J779" s="17"/>
      <c r="M779" s="18"/>
      <c r="N779" s="19"/>
      <c r="P779" s="20"/>
    </row>
    <row r="780" spans="3:16" ht="15.75" customHeight="1" x14ac:dyDescent="0.3">
      <c r="C780" s="16"/>
      <c r="E780" s="17"/>
      <c r="F780" s="17"/>
      <c r="G780" s="17"/>
      <c r="H780" s="17"/>
      <c r="I780" s="17"/>
      <c r="J780" s="17"/>
      <c r="M780" s="18"/>
      <c r="N780" s="19"/>
      <c r="P780" s="20"/>
    </row>
    <row r="781" spans="3:16" ht="15.75" customHeight="1" x14ac:dyDescent="0.3">
      <c r="C781" s="16"/>
      <c r="E781" s="17"/>
      <c r="F781" s="17"/>
      <c r="G781" s="17"/>
      <c r="H781" s="17"/>
      <c r="I781" s="17"/>
      <c r="J781" s="17"/>
      <c r="M781" s="18"/>
      <c r="N781" s="19"/>
      <c r="P781" s="20"/>
    </row>
    <row r="782" spans="3:16" ht="15.75" customHeight="1" x14ac:dyDescent="0.3">
      <c r="C782" s="16"/>
      <c r="E782" s="17"/>
      <c r="F782" s="17"/>
      <c r="G782" s="17"/>
      <c r="H782" s="17"/>
      <c r="I782" s="17"/>
      <c r="J782" s="17"/>
      <c r="M782" s="18"/>
      <c r="N782" s="19"/>
      <c r="P782" s="20"/>
    </row>
    <row r="783" spans="3:16" ht="15.75" customHeight="1" x14ac:dyDescent="0.3">
      <c r="C783" s="16"/>
      <c r="E783" s="17"/>
      <c r="F783" s="17"/>
      <c r="G783" s="17"/>
      <c r="H783" s="17"/>
      <c r="I783" s="17"/>
      <c r="J783" s="17"/>
      <c r="M783" s="18"/>
      <c r="N783" s="19"/>
      <c r="P783" s="20"/>
    </row>
    <row r="784" spans="3:16" ht="15.75" customHeight="1" x14ac:dyDescent="0.3">
      <c r="C784" s="16"/>
      <c r="E784" s="17"/>
      <c r="F784" s="17"/>
      <c r="G784" s="17"/>
      <c r="H784" s="17"/>
      <c r="I784" s="17"/>
      <c r="J784" s="17"/>
      <c r="M784" s="18"/>
      <c r="N784" s="19"/>
      <c r="P784" s="20"/>
    </row>
    <row r="785" spans="3:16" ht="15.75" customHeight="1" x14ac:dyDescent="0.3">
      <c r="C785" s="16"/>
      <c r="E785" s="17"/>
      <c r="F785" s="17"/>
      <c r="G785" s="17"/>
      <c r="H785" s="17"/>
      <c r="I785" s="17"/>
      <c r="J785" s="17"/>
      <c r="M785" s="18"/>
      <c r="N785" s="19"/>
      <c r="P785" s="20"/>
    </row>
    <row r="786" spans="3:16" ht="15.75" customHeight="1" x14ac:dyDescent="0.3">
      <c r="C786" s="16"/>
      <c r="E786" s="17"/>
      <c r="F786" s="17"/>
      <c r="G786" s="17"/>
      <c r="H786" s="17"/>
      <c r="I786" s="17"/>
      <c r="J786" s="17"/>
      <c r="M786" s="18"/>
      <c r="N786" s="19"/>
      <c r="P786" s="20"/>
    </row>
    <row r="787" spans="3:16" ht="15.75" customHeight="1" x14ac:dyDescent="0.3">
      <c r="C787" s="16"/>
      <c r="E787" s="17"/>
      <c r="F787" s="17"/>
      <c r="G787" s="17"/>
      <c r="H787" s="17"/>
      <c r="I787" s="17"/>
      <c r="J787" s="17"/>
      <c r="M787" s="18"/>
      <c r="N787" s="19"/>
      <c r="P787" s="20"/>
    </row>
    <row r="788" spans="3:16" ht="15.75" customHeight="1" x14ac:dyDescent="0.3">
      <c r="C788" s="16"/>
      <c r="E788" s="17"/>
      <c r="F788" s="17"/>
      <c r="G788" s="17"/>
      <c r="H788" s="17"/>
      <c r="I788" s="17"/>
      <c r="J788" s="17"/>
      <c r="M788" s="18"/>
      <c r="N788" s="19"/>
      <c r="P788" s="20"/>
    </row>
    <row r="789" spans="3:16" ht="15.75" customHeight="1" x14ac:dyDescent="0.3">
      <c r="C789" s="16"/>
      <c r="E789" s="17"/>
      <c r="F789" s="17"/>
      <c r="G789" s="17"/>
      <c r="H789" s="17"/>
      <c r="I789" s="17"/>
      <c r="J789" s="17"/>
      <c r="M789" s="18"/>
      <c r="N789" s="19"/>
      <c r="P789" s="20"/>
    </row>
    <row r="790" spans="3:16" ht="15.75" customHeight="1" x14ac:dyDescent="0.3">
      <c r="C790" s="16"/>
      <c r="E790" s="17"/>
      <c r="F790" s="17"/>
      <c r="G790" s="17"/>
      <c r="H790" s="17"/>
      <c r="I790" s="17"/>
      <c r="J790" s="17"/>
      <c r="M790" s="18"/>
      <c r="N790" s="19"/>
      <c r="P790" s="20"/>
    </row>
    <row r="791" spans="3:16" ht="15.75" customHeight="1" x14ac:dyDescent="0.3">
      <c r="C791" s="16"/>
      <c r="E791" s="17"/>
      <c r="F791" s="17"/>
      <c r="G791" s="17"/>
      <c r="H791" s="17"/>
      <c r="I791" s="17"/>
      <c r="J791" s="17"/>
      <c r="M791" s="18"/>
      <c r="N791" s="19"/>
      <c r="P791" s="20"/>
    </row>
    <row r="792" spans="3:16" ht="15.75" customHeight="1" x14ac:dyDescent="0.3">
      <c r="C792" s="16"/>
      <c r="E792" s="17"/>
      <c r="F792" s="17"/>
      <c r="G792" s="17"/>
      <c r="H792" s="17"/>
      <c r="I792" s="17"/>
      <c r="J792" s="17"/>
      <c r="M792" s="18"/>
      <c r="N792" s="19"/>
      <c r="P792" s="20"/>
    </row>
    <row r="793" spans="3:16" ht="15.75" customHeight="1" x14ac:dyDescent="0.3">
      <c r="C793" s="16"/>
      <c r="E793" s="17"/>
      <c r="F793" s="17"/>
      <c r="G793" s="17"/>
      <c r="H793" s="17"/>
      <c r="I793" s="17"/>
      <c r="J793" s="17"/>
      <c r="M793" s="18"/>
      <c r="N793" s="19"/>
      <c r="P793" s="20"/>
    </row>
    <row r="794" spans="3:16" ht="15.75" customHeight="1" x14ac:dyDescent="0.3">
      <c r="C794" s="16"/>
      <c r="E794" s="17"/>
      <c r="F794" s="17"/>
      <c r="G794" s="17"/>
      <c r="H794" s="17"/>
      <c r="I794" s="17"/>
      <c r="J794" s="17"/>
      <c r="M794" s="18"/>
      <c r="N794" s="19"/>
      <c r="P794" s="20"/>
    </row>
    <row r="795" spans="3:16" ht="15.75" customHeight="1" x14ac:dyDescent="0.3">
      <c r="C795" s="16"/>
      <c r="E795" s="17"/>
      <c r="F795" s="17"/>
      <c r="G795" s="17"/>
      <c r="H795" s="17"/>
      <c r="I795" s="17"/>
      <c r="J795" s="17"/>
      <c r="M795" s="18"/>
      <c r="N795" s="19"/>
      <c r="P795" s="20"/>
    </row>
    <row r="796" spans="3:16" ht="15.75" customHeight="1" x14ac:dyDescent="0.3">
      <c r="C796" s="16"/>
      <c r="E796" s="17"/>
      <c r="F796" s="17"/>
      <c r="G796" s="17"/>
      <c r="H796" s="17"/>
      <c r="I796" s="17"/>
      <c r="J796" s="17"/>
      <c r="M796" s="18"/>
      <c r="N796" s="19"/>
      <c r="P796" s="20"/>
    </row>
    <row r="797" spans="3:16" ht="15.75" customHeight="1" x14ac:dyDescent="0.3">
      <c r="C797" s="16"/>
      <c r="E797" s="17"/>
      <c r="F797" s="17"/>
      <c r="G797" s="17"/>
      <c r="H797" s="17"/>
      <c r="I797" s="17"/>
      <c r="J797" s="17"/>
      <c r="M797" s="18"/>
      <c r="N797" s="19"/>
      <c r="P797" s="20"/>
    </row>
    <row r="798" spans="3:16" ht="15.75" customHeight="1" x14ac:dyDescent="0.3">
      <c r="C798" s="16"/>
      <c r="E798" s="17"/>
      <c r="F798" s="17"/>
      <c r="G798" s="17"/>
      <c r="H798" s="17"/>
      <c r="I798" s="17"/>
      <c r="J798" s="17"/>
      <c r="M798" s="18"/>
      <c r="N798" s="19"/>
      <c r="P798" s="20"/>
    </row>
    <row r="799" spans="3:16" ht="15.75" customHeight="1" x14ac:dyDescent="0.3">
      <c r="C799" s="16"/>
      <c r="E799" s="17"/>
      <c r="F799" s="17"/>
      <c r="G799" s="17"/>
      <c r="H799" s="17"/>
      <c r="I799" s="17"/>
      <c r="J799" s="17"/>
      <c r="M799" s="18"/>
      <c r="N799" s="19"/>
      <c r="P799" s="20"/>
    </row>
    <row r="800" spans="3:16" ht="15.75" customHeight="1" x14ac:dyDescent="0.3">
      <c r="C800" s="16"/>
      <c r="E800" s="17"/>
      <c r="F800" s="17"/>
      <c r="G800" s="17"/>
      <c r="H800" s="17"/>
      <c r="I800" s="17"/>
      <c r="J800" s="17"/>
      <c r="M800" s="18"/>
      <c r="N800" s="19"/>
      <c r="P800" s="20"/>
    </row>
    <row r="801" spans="3:16" ht="15.75" customHeight="1" x14ac:dyDescent="0.3">
      <c r="C801" s="16"/>
      <c r="E801" s="17"/>
      <c r="F801" s="17"/>
      <c r="G801" s="17"/>
      <c r="H801" s="17"/>
      <c r="I801" s="17"/>
      <c r="J801" s="17"/>
      <c r="M801" s="18"/>
      <c r="N801" s="19"/>
      <c r="P801" s="20"/>
    </row>
    <row r="802" spans="3:16" ht="15.75" customHeight="1" x14ac:dyDescent="0.3">
      <c r="C802" s="16"/>
      <c r="E802" s="17"/>
      <c r="F802" s="17"/>
      <c r="G802" s="17"/>
      <c r="H802" s="17"/>
      <c r="I802" s="17"/>
      <c r="J802" s="17"/>
      <c r="M802" s="18"/>
      <c r="N802" s="19"/>
      <c r="P802" s="20"/>
    </row>
    <row r="803" spans="3:16" ht="15.75" customHeight="1" x14ac:dyDescent="0.3">
      <c r="C803" s="16"/>
      <c r="E803" s="17"/>
      <c r="F803" s="17"/>
      <c r="G803" s="17"/>
      <c r="H803" s="17"/>
      <c r="I803" s="17"/>
      <c r="J803" s="17"/>
      <c r="M803" s="18"/>
      <c r="N803" s="19"/>
      <c r="P803" s="20"/>
    </row>
    <row r="804" spans="3:16" ht="15.75" customHeight="1" x14ac:dyDescent="0.3">
      <c r="C804" s="16"/>
      <c r="E804" s="17"/>
      <c r="F804" s="17"/>
      <c r="G804" s="17"/>
      <c r="H804" s="17"/>
      <c r="I804" s="17"/>
      <c r="J804" s="17"/>
      <c r="M804" s="18"/>
      <c r="N804" s="19"/>
      <c r="P804" s="20"/>
    </row>
    <row r="805" spans="3:16" ht="15.75" customHeight="1" x14ac:dyDescent="0.3">
      <c r="C805" s="16"/>
      <c r="E805" s="17"/>
      <c r="F805" s="17"/>
      <c r="G805" s="17"/>
      <c r="H805" s="17"/>
      <c r="I805" s="17"/>
      <c r="J805" s="17"/>
      <c r="M805" s="18"/>
      <c r="N805" s="19"/>
      <c r="P805" s="20"/>
    </row>
    <row r="806" spans="3:16" ht="15.75" customHeight="1" x14ac:dyDescent="0.3">
      <c r="C806" s="16"/>
      <c r="E806" s="17"/>
      <c r="F806" s="17"/>
      <c r="G806" s="17"/>
      <c r="H806" s="17"/>
      <c r="I806" s="17"/>
      <c r="J806" s="17"/>
      <c r="M806" s="18"/>
      <c r="N806" s="19"/>
      <c r="P806" s="20"/>
    </row>
    <row r="807" spans="3:16" ht="15.75" customHeight="1" x14ac:dyDescent="0.3">
      <c r="C807" s="16"/>
      <c r="E807" s="17"/>
      <c r="F807" s="17"/>
      <c r="G807" s="17"/>
      <c r="H807" s="17"/>
      <c r="I807" s="17"/>
      <c r="J807" s="17"/>
      <c r="M807" s="18"/>
      <c r="N807" s="19"/>
      <c r="P807" s="20"/>
    </row>
    <row r="808" spans="3:16" ht="15.75" customHeight="1" x14ac:dyDescent="0.3">
      <c r="C808" s="16"/>
      <c r="E808" s="17"/>
      <c r="F808" s="17"/>
      <c r="G808" s="17"/>
      <c r="H808" s="17"/>
      <c r="I808" s="17"/>
      <c r="J808" s="17"/>
      <c r="M808" s="18"/>
      <c r="N808" s="19"/>
      <c r="P808" s="20"/>
    </row>
    <row r="809" spans="3:16" ht="15.75" customHeight="1" x14ac:dyDescent="0.3">
      <c r="C809" s="16"/>
      <c r="E809" s="17"/>
      <c r="F809" s="17"/>
      <c r="G809" s="17"/>
      <c r="H809" s="17"/>
      <c r="I809" s="17"/>
      <c r="J809" s="17"/>
      <c r="M809" s="18"/>
      <c r="N809" s="19"/>
      <c r="P809" s="20"/>
    </row>
    <row r="810" spans="3:16" ht="15.75" customHeight="1" x14ac:dyDescent="0.3">
      <c r="C810" s="16"/>
      <c r="E810" s="17"/>
      <c r="F810" s="17"/>
      <c r="G810" s="17"/>
      <c r="H810" s="17"/>
      <c r="I810" s="17"/>
      <c r="J810" s="17"/>
      <c r="M810" s="18"/>
      <c r="N810" s="19"/>
      <c r="P810" s="20"/>
    </row>
    <row r="811" spans="3:16" ht="15.75" customHeight="1" x14ac:dyDescent="0.3">
      <c r="C811" s="16"/>
      <c r="E811" s="17"/>
      <c r="F811" s="17"/>
      <c r="G811" s="17"/>
      <c r="H811" s="17"/>
      <c r="I811" s="17"/>
      <c r="J811" s="17"/>
      <c r="M811" s="18"/>
      <c r="N811" s="19"/>
      <c r="P811" s="20"/>
    </row>
    <row r="812" spans="3:16" ht="15.75" customHeight="1" x14ac:dyDescent="0.3">
      <c r="C812" s="16"/>
      <c r="E812" s="17"/>
      <c r="F812" s="17"/>
      <c r="G812" s="17"/>
      <c r="H812" s="17"/>
      <c r="I812" s="17"/>
      <c r="J812" s="17"/>
      <c r="M812" s="18"/>
      <c r="N812" s="19"/>
      <c r="P812" s="20"/>
    </row>
    <row r="813" spans="3:16" ht="15.75" customHeight="1" x14ac:dyDescent="0.3">
      <c r="C813" s="16"/>
      <c r="E813" s="17"/>
      <c r="F813" s="17"/>
      <c r="G813" s="17"/>
      <c r="H813" s="17"/>
      <c r="I813" s="17"/>
      <c r="J813" s="17"/>
      <c r="M813" s="18"/>
      <c r="N813" s="19"/>
      <c r="P813" s="20"/>
    </row>
    <row r="814" spans="3:16" ht="15.75" customHeight="1" x14ac:dyDescent="0.3">
      <c r="C814" s="16"/>
      <c r="E814" s="17"/>
      <c r="F814" s="17"/>
      <c r="G814" s="17"/>
      <c r="H814" s="17"/>
      <c r="I814" s="17"/>
      <c r="J814" s="17"/>
      <c r="M814" s="18"/>
      <c r="N814" s="19"/>
      <c r="P814" s="20"/>
    </row>
    <row r="815" spans="3:16" ht="15.75" customHeight="1" x14ac:dyDescent="0.3">
      <c r="C815" s="16"/>
      <c r="E815" s="17"/>
      <c r="F815" s="17"/>
      <c r="G815" s="17"/>
      <c r="H815" s="17"/>
      <c r="I815" s="17"/>
      <c r="J815" s="17"/>
      <c r="M815" s="18"/>
      <c r="N815" s="19"/>
      <c r="P815" s="20"/>
    </row>
    <row r="816" spans="3:16" ht="15.75" customHeight="1" x14ac:dyDescent="0.3">
      <c r="C816" s="16"/>
      <c r="E816" s="17"/>
      <c r="F816" s="17"/>
      <c r="G816" s="17"/>
      <c r="H816" s="17"/>
      <c r="I816" s="17"/>
      <c r="J816" s="17"/>
      <c r="M816" s="18"/>
      <c r="N816" s="19"/>
      <c r="P816" s="20"/>
    </row>
    <row r="817" spans="3:16" ht="15.75" customHeight="1" x14ac:dyDescent="0.3">
      <c r="C817" s="16"/>
      <c r="E817" s="17"/>
      <c r="F817" s="17"/>
      <c r="G817" s="17"/>
      <c r="H817" s="17"/>
      <c r="I817" s="17"/>
      <c r="J817" s="17"/>
      <c r="M817" s="18"/>
      <c r="N817" s="19"/>
      <c r="P817" s="20"/>
    </row>
    <row r="818" spans="3:16" ht="15.75" customHeight="1" x14ac:dyDescent="0.3">
      <c r="C818" s="16"/>
      <c r="E818" s="17"/>
      <c r="F818" s="17"/>
      <c r="G818" s="17"/>
      <c r="H818" s="17"/>
      <c r="I818" s="17"/>
      <c r="J818" s="17"/>
      <c r="M818" s="18"/>
      <c r="N818" s="19"/>
      <c r="P818" s="20"/>
    </row>
    <row r="819" spans="3:16" ht="15.75" customHeight="1" x14ac:dyDescent="0.3">
      <c r="C819" s="16"/>
      <c r="E819" s="17"/>
      <c r="F819" s="17"/>
      <c r="G819" s="17"/>
      <c r="H819" s="17"/>
      <c r="I819" s="17"/>
      <c r="J819" s="17"/>
      <c r="M819" s="18"/>
      <c r="N819" s="19"/>
      <c r="P819" s="20"/>
    </row>
    <row r="820" spans="3:16" ht="15.75" customHeight="1" x14ac:dyDescent="0.3">
      <c r="C820" s="16"/>
      <c r="E820" s="17"/>
      <c r="F820" s="17"/>
      <c r="G820" s="17"/>
      <c r="H820" s="17"/>
      <c r="I820" s="17"/>
      <c r="J820" s="17"/>
      <c r="M820" s="18"/>
      <c r="N820" s="19"/>
      <c r="P820" s="20"/>
    </row>
    <row r="821" spans="3:16" ht="15.75" customHeight="1" x14ac:dyDescent="0.3">
      <c r="C821" s="16"/>
      <c r="E821" s="17"/>
      <c r="F821" s="17"/>
      <c r="G821" s="17"/>
      <c r="H821" s="17"/>
      <c r="I821" s="17"/>
      <c r="J821" s="17"/>
      <c r="M821" s="18"/>
      <c r="N821" s="19"/>
      <c r="P821" s="20"/>
    </row>
    <row r="822" spans="3:16" ht="15.75" customHeight="1" x14ac:dyDescent="0.3">
      <c r="C822" s="16"/>
      <c r="E822" s="17"/>
      <c r="F822" s="17"/>
      <c r="G822" s="17"/>
      <c r="H822" s="17"/>
      <c r="I822" s="17"/>
      <c r="J822" s="17"/>
      <c r="M822" s="18"/>
      <c r="N822" s="19"/>
      <c r="P822" s="20"/>
    </row>
    <row r="823" spans="3:16" ht="15.75" customHeight="1" x14ac:dyDescent="0.3">
      <c r="C823" s="16"/>
      <c r="E823" s="17"/>
      <c r="F823" s="17"/>
      <c r="G823" s="17"/>
      <c r="H823" s="17"/>
      <c r="I823" s="17"/>
      <c r="J823" s="17"/>
      <c r="M823" s="18"/>
      <c r="N823" s="19"/>
      <c r="P823" s="20"/>
    </row>
    <row r="824" spans="3:16" ht="15.75" customHeight="1" x14ac:dyDescent="0.3">
      <c r="C824" s="16"/>
      <c r="E824" s="17"/>
      <c r="F824" s="17"/>
      <c r="G824" s="17"/>
      <c r="H824" s="17"/>
      <c r="I824" s="17"/>
      <c r="J824" s="17"/>
      <c r="M824" s="18"/>
      <c r="N824" s="19"/>
      <c r="P824" s="20"/>
    </row>
    <row r="825" spans="3:16" ht="15.75" customHeight="1" x14ac:dyDescent="0.3">
      <c r="C825" s="16"/>
      <c r="E825" s="17"/>
      <c r="F825" s="17"/>
      <c r="G825" s="17"/>
      <c r="H825" s="17"/>
      <c r="I825" s="17"/>
      <c r="J825" s="17"/>
      <c r="M825" s="18"/>
      <c r="N825" s="19"/>
      <c r="P825" s="20"/>
    </row>
    <row r="826" spans="3:16" ht="15.75" customHeight="1" x14ac:dyDescent="0.3">
      <c r="C826" s="16"/>
      <c r="E826" s="17"/>
      <c r="F826" s="17"/>
      <c r="G826" s="17"/>
      <c r="H826" s="17"/>
      <c r="I826" s="17"/>
      <c r="J826" s="17"/>
      <c r="M826" s="18"/>
      <c r="N826" s="19"/>
      <c r="P826" s="20"/>
    </row>
    <row r="827" spans="3:16" ht="15.75" customHeight="1" x14ac:dyDescent="0.3">
      <c r="C827" s="16"/>
      <c r="E827" s="17"/>
      <c r="F827" s="17"/>
      <c r="G827" s="17"/>
      <c r="H827" s="17"/>
      <c r="I827" s="17"/>
      <c r="J827" s="17"/>
      <c r="M827" s="18"/>
      <c r="N827" s="19"/>
      <c r="P827" s="20"/>
    </row>
    <row r="828" spans="3:16" ht="15.75" customHeight="1" x14ac:dyDescent="0.3">
      <c r="C828" s="16"/>
      <c r="E828" s="17"/>
      <c r="F828" s="17"/>
      <c r="G828" s="17"/>
      <c r="H828" s="17"/>
      <c r="I828" s="17"/>
      <c r="J828" s="17"/>
      <c r="M828" s="18"/>
      <c r="N828" s="19"/>
      <c r="P828" s="20"/>
    </row>
    <row r="829" spans="3:16" ht="15.75" customHeight="1" x14ac:dyDescent="0.3">
      <c r="C829" s="16"/>
      <c r="E829" s="17"/>
      <c r="F829" s="17"/>
      <c r="G829" s="17"/>
      <c r="H829" s="17"/>
      <c r="I829" s="17"/>
      <c r="J829" s="17"/>
      <c r="M829" s="18"/>
      <c r="N829" s="19"/>
      <c r="P829" s="20"/>
    </row>
    <row r="830" spans="3:16" ht="15.75" customHeight="1" x14ac:dyDescent="0.3">
      <c r="C830" s="16"/>
      <c r="E830" s="17"/>
      <c r="F830" s="17"/>
      <c r="G830" s="17"/>
      <c r="H830" s="17"/>
      <c r="I830" s="17"/>
      <c r="J830" s="17"/>
      <c r="M830" s="18"/>
      <c r="N830" s="19"/>
      <c r="P830" s="20"/>
    </row>
    <row r="831" spans="3:16" ht="15.75" customHeight="1" x14ac:dyDescent="0.3">
      <c r="C831" s="16"/>
      <c r="E831" s="17"/>
      <c r="F831" s="17"/>
      <c r="G831" s="17"/>
      <c r="H831" s="17"/>
      <c r="I831" s="17"/>
      <c r="J831" s="17"/>
      <c r="M831" s="18"/>
      <c r="N831" s="19"/>
      <c r="P831" s="20"/>
    </row>
    <row r="832" spans="3:16" ht="15.75" customHeight="1" x14ac:dyDescent="0.3">
      <c r="C832" s="16"/>
      <c r="E832" s="17"/>
      <c r="F832" s="17"/>
      <c r="G832" s="17"/>
      <c r="H832" s="17"/>
      <c r="I832" s="17"/>
      <c r="J832" s="17"/>
      <c r="M832" s="18"/>
      <c r="N832" s="19"/>
      <c r="P832" s="20"/>
    </row>
    <row r="833" spans="3:16" ht="15.75" customHeight="1" x14ac:dyDescent="0.3">
      <c r="C833" s="16"/>
      <c r="E833" s="17"/>
      <c r="F833" s="17"/>
      <c r="G833" s="17"/>
      <c r="H833" s="17"/>
      <c r="I833" s="17"/>
      <c r="J833" s="17"/>
      <c r="M833" s="18"/>
      <c r="N833" s="19"/>
      <c r="P833" s="20"/>
    </row>
    <row r="834" spans="3:16" ht="15.75" customHeight="1" x14ac:dyDescent="0.3">
      <c r="C834" s="16"/>
      <c r="E834" s="17"/>
      <c r="F834" s="17"/>
      <c r="G834" s="17"/>
      <c r="H834" s="17"/>
      <c r="I834" s="17"/>
      <c r="J834" s="17"/>
      <c r="M834" s="18"/>
      <c r="N834" s="19"/>
      <c r="P834" s="20"/>
    </row>
    <row r="835" spans="3:16" ht="15.75" customHeight="1" x14ac:dyDescent="0.3">
      <c r="C835" s="16"/>
      <c r="E835" s="17"/>
      <c r="F835" s="17"/>
      <c r="G835" s="17"/>
      <c r="H835" s="17"/>
      <c r="I835" s="17"/>
      <c r="J835" s="17"/>
      <c r="M835" s="18"/>
      <c r="N835" s="19"/>
      <c r="P835" s="20"/>
    </row>
    <row r="836" spans="3:16" ht="15.75" customHeight="1" x14ac:dyDescent="0.3">
      <c r="C836" s="16"/>
      <c r="E836" s="17"/>
      <c r="F836" s="17"/>
      <c r="G836" s="17"/>
      <c r="H836" s="17"/>
      <c r="I836" s="17"/>
      <c r="J836" s="17"/>
      <c r="M836" s="18"/>
      <c r="N836" s="19"/>
      <c r="P836" s="20"/>
    </row>
    <row r="837" spans="3:16" ht="15.75" customHeight="1" x14ac:dyDescent="0.3">
      <c r="C837" s="16"/>
      <c r="E837" s="17"/>
      <c r="F837" s="17"/>
      <c r="G837" s="17"/>
      <c r="H837" s="17"/>
      <c r="I837" s="17"/>
      <c r="J837" s="17"/>
      <c r="M837" s="18"/>
      <c r="N837" s="19"/>
      <c r="P837" s="20"/>
    </row>
    <row r="838" spans="3:16" ht="15.75" customHeight="1" x14ac:dyDescent="0.3">
      <c r="C838" s="16"/>
      <c r="E838" s="17"/>
      <c r="F838" s="17"/>
      <c r="G838" s="17"/>
      <c r="H838" s="17"/>
      <c r="I838" s="17"/>
      <c r="J838" s="17"/>
      <c r="M838" s="18"/>
      <c r="N838" s="19"/>
      <c r="P838" s="20"/>
    </row>
    <row r="839" spans="3:16" ht="15.75" customHeight="1" x14ac:dyDescent="0.3">
      <c r="C839" s="16"/>
      <c r="E839" s="17"/>
      <c r="F839" s="17"/>
      <c r="G839" s="17"/>
      <c r="H839" s="17"/>
      <c r="I839" s="17"/>
      <c r="J839" s="17"/>
      <c r="M839" s="18"/>
      <c r="N839" s="19"/>
      <c r="P839" s="20"/>
    </row>
    <row r="840" spans="3:16" ht="15.75" customHeight="1" x14ac:dyDescent="0.3">
      <c r="C840" s="16"/>
      <c r="E840" s="17"/>
      <c r="F840" s="17"/>
      <c r="G840" s="17"/>
      <c r="H840" s="17"/>
      <c r="I840" s="17"/>
      <c r="J840" s="17"/>
      <c r="M840" s="18"/>
      <c r="N840" s="19"/>
      <c r="P840" s="20"/>
    </row>
    <row r="841" spans="3:16" ht="15.75" customHeight="1" x14ac:dyDescent="0.3">
      <c r="C841" s="16"/>
      <c r="E841" s="17"/>
      <c r="F841" s="17"/>
      <c r="G841" s="17"/>
      <c r="H841" s="17"/>
      <c r="I841" s="17"/>
      <c r="J841" s="17"/>
      <c r="M841" s="18"/>
      <c r="N841" s="19"/>
      <c r="P841" s="20"/>
    </row>
    <row r="842" spans="3:16" ht="15.75" customHeight="1" x14ac:dyDescent="0.3">
      <c r="C842" s="16"/>
      <c r="E842" s="17"/>
      <c r="F842" s="17"/>
      <c r="G842" s="17"/>
      <c r="H842" s="17"/>
      <c r="I842" s="17"/>
      <c r="J842" s="17"/>
      <c r="M842" s="18"/>
      <c r="N842" s="19"/>
      <c r="P842" s="20"/>
    </row>
    <row r="843" spans="3:16" ht="15.75" customHeight="1" x14ac:dyDescent="0.3">
      <c r="C843" s="16"/>
      <c r="E843" s="17"/>
      <c r="F843" s="17"/>
      <c r="G843" s="17"/>
      <c r="H843" s="17"/>
      <c r="I843" s="17"/>
      <c r="J843" s="17"/>
      <c r="M843" s="18"/>
      <c r="N843" s="19"/>
      <c r="P843" s="20"/>
    </row>
    <row r="844" spans="3:16" ht="15.75" customHeight="1" x14ac:dyDescent="0.3">
      <c r="C844" s="16"/>
      <c r="E844" s="17"/>
      <c r="F844" s="17"/>
      <c r="G844" s="17"/>
      <c r="H844" s="17"/>
      <c r="I844" s="17"/>
      <c r="J844" s="17"/>
      <c r="M844" s="18"/>
      <c r="N844" s="19"/>
      <c r="P844" s="20"/>
    </row>
    <row r="845" spans="3:16" ht="15.75" customHeight="1" x14ac:dyDescent="0.3">
      <c r="C845" s="16"/>
      <c r="E845" s="17"/>
      <c r="F845" s="17"/>
      <c r="G845" s="17"/>
      <c r="H845" s="17"/>
      <c r="I845" s="17"/>
      <c r="J845" s="17"/>
      <c r="M845" s="18"/>
      <c r="N845" s="19"/>
      <c r="P845" s="20"/>
    </row>
    <row r="846" spans="3:16" ht="15.75" customHeight="1" x14ac:dyDescent="0.3">
      <c r="C846" s="16"/>
      <c r="E846" s="17"/>
      <c r="F846" s="17"/>
      <c r="G846" s="17"/>
      <c r="H846" s="17"/>
      <c r="I846" s="17"/>
      <c r="J846" s="17"/>
      <c r="M846" s="18"/>
      <c r="N846" s="19"/>
      <c r="P846" s="20"/>
    </row>
    <row r="847" spans="3:16" ht="15.75" customHeight="1" x14ac:dyDescent="0.3">
      <c r="C847" s="16"/>
      <c r="E847" s="17"/>
      <c r="F847" s="17"/>
      <c r="G847" s="17"/>
      <c r="H847" s="17"/>
      <c r="I847" s="17"/>
      <c r="J847" s="17"/>
      <c r="M847" s="18"/>
      <c r="N847" s="19"/>
      <c r="P847" s="20"/>
    </row>
    <row r="848" spans="3:16" ht="15.75" customHeight="1" x14ac:dyDescent="0.3">
      <c r="C848" s="16"/>
      <c r="E848" s="17"/>
      <c r="F848" s="17"/>
      <c r="G848" s="17"/>
      <c r="H848" s="17"/>
      <c r="I848" s="17"/>
      <c r="J848" s="17"/>
      <c r="M848" s="18"/>
      <c r="N848" s="19"/>
      <c r="P848" s="20"/>
    </row>
    <row r="849" spans="3:16" ht="15.75" customHeight="1" x14ac:dyDescent="0.3">
      <c r="C849" s="16"/>
      <c r="E849" s="17"/>
      <c r="F849" s="17"/>
      <c r="G849" s="17"/>
      <c r="H849" s="17"/>
      <c r="I849" s="17"/>
      <c r="J849" s="17"/>
      <c r="M849" s="18"/>
      <c r="N849" s="19"/>
      <c r="P849" s="20"/>
    </row>
    <row r="850" spans="3:16" ht="15.75" customHeight="1" x14ac:dyDescent="0.3">
      <c r="C850" s="16"/>
      <c r="E850" s="17"/>
      <c r="F850" s="17"/>
      <c r="G850" s="17"/>
      <c r="H850" s="17"/>
      <c r="I850" s="17"/>
      <c r="J850" s="17"/>
      <c r="M850" s="18"/>
      <c r="N850" s="19"/>
      <c r="P850" s="20"/>
    </row>
    <row r="851" spans="3:16" ht="15.75" customHeight="1" x14ac:dyDescent="0.3">
      <c r="C851" s="16"/>
      <c r="E851" s="17"/>
      <c r="F851" s="17"/>
      <c r="G851" s="17"/>
      <c r="H851" s="17"/>
      <c r="I851" s="17"/>
      <c r="J851" s="17"/>
      <c r="M851" s="18"/>
      <c r="N851" s="19"/>
      <c r="P851" s="20"/>
    </row>
    <row r="852" spans="3:16" ht="15.75" customHeight="1" x14ac:dyDescent="0.3">
      <c r="C852" s="16"/>
      <c r="E852" s="17"/>
      <c r="F852" s="17"/>
      <c r="G852" s="17"/>
      <c r="H852" s="17"/>
      <c r="I852" s="17"/>
      <c r="J852" s="17"/>
      <c r="M852" s="18"/>
      <c r="N852" s="19"/>
      <c r="P852" s="20"/>
    </row>
    <row r="853" spans="3:16" ht="15.75" customHeight="1" x14ac:dyDescent="0.3">
      <c r="C853" s="16"/>
      <c r="E853" s="17"/>
      <c r="F853" s="17"/>
      <c r="G853" s="17"/>
      <c r="H853" s="17"/>
      <c r="I853" s="17"/>
      <c r="J853" s="17"/>
      <c r="M853" s="18"/>
      <c r="N853" s="19"/>
      <c r="P853" s="20"/>
    </row>
    <row r="854" spans="3:16" ht="15.75" customHeight="1" x14ac:dyDescent="0.3">
      <c r="C854" s="16"/>
      <c r="E854" s="17"/>
      <c r="F854" s="17"/>
      <c r="G854" s="17"/>
      <c r="H854" s="17"/>
      <c r="I854" s="17"/>
      <c r="J854" s="17"/>
      <c r="M854" s="18"/>
      <c r="N854" s="19"/>
      <c r="P854" s="20"/>
    </row>
    <row r="855" spans="3:16" ht="15.75" customHeight="1" x14ac:dyDescent="0.3">
      <c r="C855" s="16"/>
      <c r="E855" s="17"/>
      <c r="F855" s="17"/>
      <c r="G855" s="17"/>
      <c r="H855" s="17"/>
      <c r="I855" s="17"/>
      <c r="J855" s="17"/>
      <c r="M855" s="18"/>
      <c r="N855" s="19"/>
      <c r="P855" s="20"/>
    </row>
    <row r="856" spans="3:16" ht="15.75" customHeight="1" x14ac:dyDescent="0.3">
      <c r="C856" s="16"/>
      <c r="E856" s="17"/>
      <c r="F856" s="17"/>
      <c r="G856" s="17"/>
      <c r="H856" s="17"/>
      <c r="I856" s="17"/>
      <c r="J856" s="17"/>
      <c r="M856" s="18"/>
      <c r="N856" s="19"/>
      <c r="P856" s="20"/>
    </row>
    <row r="857" spans="3:16" ht="15.75" customHeight="1" x14ac:dyDescent="0.3">
      <c r="C857" s="16"/>
      <c r="E857" s="17"/>
      <c r="F857" s="17"/>
      <c r="G857" s="17"/>
      <c r="H857" s="17"/>
      <c r="I857" s="17"/>
      <c r="J857" s="17"/>
      <c r="M857" s="18"/>
      <c r="N857" s="19"/>
      <c r="P857" s="20"/>
    </row>
    <row r="858" spans="3:16" ht="15.75" customHeight="1" x14ac:dyDescent="0.3">
      <c r="C858" s="16"/>
      <c r="E858" s="17"/>
      <c r="F858" s="17"/>
      <c r="G858" s="17"/>
      <c r="H858" s="17"/>
      <c r="I858" s="17"/>
      <c r="J858" s="17"/>
      <c r="M858" s="18"/>
      <c r="N858" s="19"/>
      <c r="P858" s="20"/>
    </row>
    <row r="859" spans="3:16" ht="15.75" customHeight="1" x14ac:dyDescent="0.3">
      <c r="C859" s="16"/>
      <c r="E859" s="17"/>
      <c r="F859" s="17"/>
      <c r="G859" s="17"/>
      <c r="H859" s="17"/>
      <c r="I859" s="17"/>
      <c r="J859" s="17"/>
      <c r="M859" s="18"/>
      <c r="N859" s="19"/>
      <c r="P859" s="20"/>
    </row>
    <row r="860" spans="3:16" ht="15.75" customHeight="1" x14ac:dyDescent="0.3">
      <c r="C860" s="16"/>
      <c r="E860" s="17"/>
      <c r="F860" s="17"/>
      <c r="G860" s="17"/>
      <c r="H860" s="17"/>
      <c r="I860" s="17"/>
      <c r="J860" s="17"/>
      <c r="M860" s="18"/>
      <c r="N860" s="19"/>
      <c r="P860" s="20"/>
    </row>
    <row r="861" spans="3:16" ht="15.75" customHeight="1" x14ac:dyDescent="0.3">
      <c r="C861" s="16"/>
      <c r="E861" s="17"/>
      <c r="F861" s="17"/>
      <c r="G861" s="17"/>
      <c r="H861" s="17"/>
      <c r="I861" s="17"/>
      <c r="J861" s="17"/>
      <c r="M861" s="18"/>
      <c r="N861" s="19"/>
      <c r="P861" s="20"/>
    </row>
    <row r="862" spans="3:16" ht="15.75" customHeight="1" x14ac:dyDescent="0.3">
      <c r="C862" s="16"/>
      <c r="E862" s="17"/>
      <c r="F862" s="17"/>
      <c r="G862" s="17"/>
      <c r="H862" s="17"/>
      <c r="I862" s="17"/>
      <c r="J862" s="17"/>
      <c r="M862" s="18"/>
      <c r="N862" s="19"/>
      <c r="P862" s="20"/>
    </row>
    <row r="863" spans="3:16" ht="15.75" customHeight="1" x14ac:dyDescent="0.3">
      <c r="C863" s="16"/>
      <c r="E863" s="17"/>
      <c r="F863" s="17"/>
      <c r="G863" s="17"/>
      <c r="H863" s="17"/>
      <c r="I863" s="17"/>
      <c r="J863" s="17"/>
      <c r="M863" s="18"/>
      <c r="N863" s="19"/>
      <c r="P863" s="20"/>
    </row>
    <row r="864" spans="3:16" ht="15.75" customHeight="1" x14ac:dyDescent="0.3">
      <c r="C864" s="16"/>
      <c r="E864" s="17"/>
      <c r="F864" s="17"/>
      <c r="G864" s="17"/>
      <c r="H864" s="17"/>
      <c r="I864" s="17"/>
      <c r="J864" s="17"/>
      <c r="M864" s="18"/>
      <c r="N864" s="19"/>
      <c r="P864" s="20"/>
    </row>
    <row r="865" spans="3:16" ht="15.75" customHeight="1" x14ac:dyDescent="0.3">
      <c r="C865" s="16"/>
      <c r="E865" s="17"/>
      <c r="F865" s="17"/>
      <c r="G865" s="17"/>
      <c r="H865" s="17"/>
      <c r="I865" s="17"/>
      <c r="J865" s="17"/>
      <c r="M865" s="18"/>
      <c r="N865" s="19"/>
      <c r="P865" s="20"/>
    </row>
    <row r="866" spans="3:16" ht="15.75" customHeight="1" x14ac:dyDescent="0.3">
      <c r="C866" s="16"/>
      <c r="E866" s="17"/>
      <c r="F866" s="17"/>
      <c r="G866" s="17"/>
      <c r="H866" s="17"/>
      <c r="I866" s="17"/>
      <c r="J866" s="17"/>
      <c r="M866" s="18"/>
      <c r="N866" s="19"/>
      <c r="P866" s="20"/>
    </row>
    <row r="867" spans="3:16" ht="15.75" customHeight="1" x14ac:dyDescent="0.3">
      <c r="C867" s="16"/>
      <c r="E867" s="17"/>
      <c r="F867" s="17"/>
      <c r="G867" s="17"/>
      <c r="H867" s="17"/>
      <c r="I867" s="17"/>
      <c r="J867" s="17"/>
      <c r="M867" s="18"/>
      <c r="N867" s="19"/>
      <c r="P867" s="20"/>
    </row>
    <row r="868" spans="3:16" ht="15.75" customHeight="1" x14ac:dyDescent="0.3">
      <c r="C868" s="16"/>
      <c r="E868" s="17"/>
      <c r="F868" s="17"/>
      <c r="G868" s="17"/>
      <c r="H868" s="17"/>
      <c r="I868" s="17"/>
      <c r="J868" s="17"/>
      <c r="M868" s="18"/>
      <c r="N868" s="19"/>
      <c r="P868" s="20"/>
    </row>
    <row r="869" spans="3:16" ht="15.75" customHeight="1" x14ac:dyDescent="0.3">
      <c r="C869" s="16"/>
      <c r="E869" s="17"/>
      <c r="F869" s="17"/>
      <c r="G869" s="17"/>
      <c r="H869" s="17"/>
      <c r="I869" s="17"/>
      <c r="J869" s="17"/>
      <c r="M869" s="18"/>
      <c r="N869" s="19"/>
      <c r="P869" s="20"/>
    </row>
    <row r="870" spans="3:16" ht="15.75" customHeight="1" x14ac:dyDescent="0.3">
      <c r="C870" s="16"/>
      <c r="E870" s="17"/>
      <c r="F870" s="17"/>
      <c r="G870" s="17"/>
      <c r="H870" s="17"/>
      <c r="I870" s="17"/>
      <c r="J870" s="17"/>
      <c r="M870" s="18"/>
      <c r="N870" s="19"/>
      <c r="P870" s="20"/>
    </row>
    <row r="871" spans="3:16" ht="15.75" customHeight="1" x14ac:dyDescent="0.3">
      <c r="C871" s="16"/>
      <c r="E871" s="17"/>
      <c r="F871" s="17"/>
      <c r="G871" s="17"/>
      <c r="H871" s="17"/>
      <c r="I871" s="17"/>
      <c r="J871" s="17"/>
      <c r="M871" s="18"/>
      <c r="N871" s="19"/>
      <c r="P871" s="20"/>
    </row>
    <row r="872" spans="3:16" ht="15.75" customHeight="1" x14ac:dyDescent="0.3">
      <c r="C872" s="16"/>
      <c r="E872" s="17"/>
      <c r="F872" s="17"/>
      <c r="G872" s="17"/>
      <c r="H872" s="17"/>
      <c r="I872" s="17"/>
      <c r="J872" s="17"/>
      <c r="M872" s="18"/>
      <c r="N872" s="19"/>
      <c r="P872" s="20"/>
    </row>
    <row r="873" spans="3:16" ht="15.75" customHeight="1" x14ac:dyDescent="0.3">
      <c r="C873" s="16"/>
      <c r="E873" s="17"/>
      <c r="F873" s="17"/>
      <c r="G873" s="17"/>
      <c r="H873" s="17"/>
      <c r="I873" s="17"/>
      <c r="J873" s="17"/>
      <c r="M873" s="18"/>
      <c r="N873" s="19"/>
      <c r="P873" s="20"/>
    </row>
    <row r="874" spans="3:16" ht="15.75" customHeight="1" x14ac:dyDescent="0.3">
      <c r="C874" s="16"/>
      <c r="E874" s="17"/>
      <c r="F874" s="17"/>
      <c r="G874" s="17"/>
      <c r="H874" s="17"/>
      <c r="I874" s="17"/>
      <c r="J874" s="17"/>
      <c r="M874" s="18"/>
      <c r="N874" s="19"/>
      <c r="P874" s="20"/>
    </row>
    <row r="875" spans="3:16" ht="15.75" customHeight="1" x14ac:dyDescent="0.3">
      <c r="C875" s="16"/>
      <c r="E875" s="17"/>
      <c r="F875" s="17"/>
      <c r="G875" s="17"/>
      <c r="H875" s="17"/>
      <c r="I875" s="17"/>
      <c r="J875" s="17"/>
      <c r="M875" s="18"/>
      <c r="N875" s="19"/>
      <c r="P875" s="20"/>
    </row>
    <row r="876" spans="3:16" ht="15.75" customHeight="1" x14ac:dyDescent="0.3">
      <c r="C876" s="16"/>
      <c r="E876" s="17"/>
      <c r="F876" s="17"/>
      <c r="G876" s="17"/>
      <c r="H876" s="17"/>
      <c r="I876" s="17"/>
      <c r="J876" s="17"/>
      <c r="M876" s="18"/>
      <c r="N876" s="19"/>
      <c r="P876" s="20"/>
    </row>
    <row r="877" spans="3:16" ht="15.75" customHeight="1" x14ac:dyDescent="0.3">
      <c r="C877" s="16"/>
      <c r="E877" s="17"/>
      <c r="F877" s="17"/>
      <c r="G877" s="17"/>
      <c r="H877" s="17"/>
      <c r="I877" s="17"/>
      <c r="J877" s="17"/>
      <c r="M877" s="18"/>
      <c r="N877" s="19"/>
      <c r="P877" s="20"/>
    </row>
    <row r="878" spans="3:16" ht="15.75" customHeight="1" x14ac:dyDescent="0.3">
      <c r="C878" s="16"/>
      <c r="E878" s="17"/>
      <c r="F878" s="17"/>
      <c r="G878" s="17"/>
      <c r="H878" s="17"/>
      <c r="I878" s="17"/>
      <c r="J878" s="17"/>
      <c r="M878" s="18"/>
      <c r="N878" s="19"/>
      <c r="P878" s="20"/>
    </row>
    <row r="879" spans="3:16" ht="15.75" customHeight="1" x14ac:dyDescent="0.3">
      <c r="C879" s="16"/>
      <c r="E879" s="17"/>
      <c r="F879" s="17"/>
      <c r="G879" s="17"/>
      <c r="H879" s="17"/>
      <c r="I879" s="17"/>
      <c r="J879" s="17"/>
      <c r="M879" s="18"/>
      <c r="N879" s="19"/>
      <c r="P879" s="20"/>
    </row>
    <row r="880" spans="3:16" ht="15.75" customHeight="1" x14ac:dyDescent="0.3">
      <c r="C880" s="16"/>
      <c r="E880" s="17"/>
      <c r="F880" s="17"/>
      <c r="G880" s="17"/>
      <c r="H880" s="17"/>
      <c r="I880" s="17"/>
      <c r="J880" s="17"/>
      <c r="M880" s="18"/>
      <c r="N880" s="19"/>
      <c r="P880" s="20"/>
    </row>
    <row r="881" spans="3:16" ht="15.75" customHeight="1" x14ac:dyDescent="0.3">
      <c r="C881" s="16"/>
      <c r="E881" s="17"/>
      <c r="F881" s="17"/>
      <c r="G881" s="17"/>
      <c r="H881" s="17"/>
      <c r="I881" s="17"/>
      <c r="J881" s="17"/>
      <c r="M881" s="18"/>
      <c r="N881" s="19"/>
      <c r="P881" s="20"/>
    </row>
    <row r="882" spans="3:16" ht="15.75" customHeight="1" x14ac:dyDescent="0.3">
      <c r="C882" s="16"/>
      <c r="E882" s="17"/>
      <c r="F882" s="17"/>
      <c r="G882" s="17"/>
      <c r="H882" s="17"/>
      <c r="I882" s="17"/>
      <c r="J882" s="17"/>
      <c r="M882" s="18"/>
      <c r="N882" s="19"/>
      <c r="P882" s="20"/>
    </row>
    <row r="883" spans="3:16" ht="15.75" customHeight="1" x14ac:dyDescent="0.3">
      <c r="C883" s="16"/>
      <c r="E883" s="17"/>
      <c r="F883" s="17"/>
      <c r="G883" s="17"/>
      <c r="H883" s="17"/>
      <c r="I883" s="17"/>
      <c r="J883" s="17"/>
      <c r="M883" s="18"/>
      <c r="N883" s="19"/>
      <c r="P883" s="20"/>
    </row>
    <row r="884" spans="3:16" ht="15.75" customHeight="1" x14ac:dyDescent="0.3">
      <c r="C884" s="16"/>
      <c r="E884" s="17"/>
      <c r="F884" s="17"/>
      <c r="G884" s="17"/>
      <c r="H884" s="17"/>
      <c r="I884" s="17"/>
      <c r="J884" s="17"/>
      <c r="M884" s="18"/>
      <c r="N884" s="19"/>
      <c r="P884" s="20"/>
    </row>
    <row r="885" spans="3:16" ht="15.75" customHeight="1" x14ac:dyDescent="0.3">
      <c r="C885" s="16"/>
      <c r="E885" s="17"/>
      <c r="F885" s="17"/>
      <c r="G885" s="17"/>
      <c r="H885" s="17"/>
      <c r="I885" s="17"/>
      <c r="J885" s="17"/>
      <c r="M885" s="18"/>
      <c r="N885" s="19"/>
      <c r="P885" s="20"/>
    </row>
    <row r="886" spans="3:16" ht="15.75" customHeight="1" x14ac:dyDescent="0.3">
      <c r="C886" s="16"/>
      <c r="E886" s="17"/>
      <c r="F886" s="17"/>
      <c r="G886" s="17"/>
      <c r="H886" s="17"/>
      <c r="I886" s="17"/>
      <c r="J886" s="17"/>
      <c r="M886" s="18"/>
      <c r="N886" s="19"/>
      <c r="P886" s="20"/>
    </row>
    <row r="887" spans="3:16" ht="15.75" customHeight="1" x14ac:dyDescent="0.3">
      <c r="C887" s="16"/>
      <c r="E887" s="17"/>
      <c r="F887" s="17"/>
      <c r="G887" s="17"/>
      <c r="H887" s="17"/>
      <c r="I887" s="17"/>
      <c r="J887" s="17"/>
      <c r="M887" s="18"/>
      <c r="N887" s="19"/>
      <c r="P887" s="20"/>
    </row>
    <row r="888" spans="3:16" ht="15.75" customHeight="1" x14ac:dyDescent="0.3">
      <c r="C888" s="16"/>
      <c r="E888" s="17"/>
      <c r="F888" s="17"/>
      <c r="G888" s="17"/>
      <c r="H888" s="17"/>
      <c r="I888" s="17"/>
      <c r="J888" s="17"/>
      <c r="M888" s="18"/>
      <c r="N888" s="19"/>
      <c r="P888" s="20"/>
    </row>
    <row r="889" spans="3:16" ht="15.75" customHeight="1" x14ac:dyDescent="0.3">
      <c r="C889" s="16"/>
      <c r="E889" s="17"/>
      <c r="F889" s="17"/>
      <c r="G889" s="17"/>
      <c r="H889" s="17"/>
      <c r="I889" s="17"/>
      <c r="J889" s="17"/>
      <c r="M889" s="18"/>
      <c r="N889" s="19"/>
      <c r="P889" s="20"/>
    </row>
    <row r="890" spans="3:16" ht="15.75" customHeight="1" x14ac:dyDescent="0.3">
      <c r="C890" s="16"/>
      <c r="E890" s="17"/>
      <c r="F890" s="17"/>
      <c r="G890" s="17"/>
      <c r="H890" s="17"/>
      <c r="I890" s="17"/>
      <c r="J890" s="17"/>
      <c r="M890" s="18"/>
      <c r="N890" s="19"/>
      <c r="P890" s="20"/>
    </row>
    <row r="891" spans="3:16" ht="15.75" customHeight="1" x14ac:dyDescent="0.3">
      <c r="C891" s="16"/>
      <c r="E891" s="17"/>
      <c r="F891" s="17"/>
      <c r="G891" s="17"/>
      <c r="H891" s="17"/>
      <c r="I891" s="17"/>
      <c r="J891" s="17"/>
      <c r="M891" s="18"/>
      <c r="N891" s="19"/>
      <c r="P891" s="20"/>
    </row>
    <row r="892" spans="3:16" ht="15.75" customHeight="1" x14ac:dyDescent="0.3">
      <c r="C892" s="16"/>
      <c r="E892" s="17"/>
      <c r="F892" s="17"/>
      <c r="G892" s="17"/>
      <c r="H892" s="17"/>
      <c r="I892" s="17"/>
      <c r="J892" s="17"/>
      <c r="M892" s="18"/>
      <c r="N892" s="19"/>
      <c r="P892" s="20"/>
    </row>
    <row r="893" spans="3:16" ht="15.75" customHeight="1" x14ac:dyDescent="0.3">
      <c r="C893" s="16"/>
      <c r="E893" s="17"/>
      <c r="F893" s="17"/>
      <c r="G893" s="17"/>
      <c r="H893" s="17"/>
      <c r="I893" s="17"/>
      <c r="J893" s="17"/>
      <c r="M893" s="18"/>
      <c r="N893" s="19"/>
      <c r="P893" s="20"/>
    </row>
    <row r="894" spans="3:16" ht="15.75" customHeight="1" x14ac:dyDescent="0.3">
      <c r="C894" s="16"/>
      <c r="E894" s="17"/>
      <c r="F894" s="17"/>
      <c r="G894" s="17"/>
      <c r="H894" s="17"/>
      <c r="I894" s="17"/>
      <c r="J894" s="17"/>
      <c r="M894" s="18"/>
      <c r="N894" s="19"/>
      <c r="P894" s="20"/>
    </row>
    <row r="895" spans="3:16" ht="15.75" customHeight="1" x14ac:dyDescent="0.3">
      <c r="C895" s="16"/>
      <c r="E895" s="17"/>
      <c r="F895" s="17"/>
      <c r="G895" s="17"/>
      <c r="H895" s="17"/>
      <c r="I895" s="17"/>
      <c r="J895" s="17"/>
      <c r="M895" s="18"/>
      <c r="N895" s="19"/>
      <c r="P895" s="20"/>
    </row>
    <row r="896" spans="3:16" ht="15.75" customHeight="1" x14ac:dyDescent="0.3">
      <c r="C896" s="16"/>
      <c r="E896" s="17"/>
      <c r="F896" s="17"/>
      <c r="G896" s="17"/>
      <c r="H896" s="17"/>
      <c r="I896" s="17"/>
      <c r="J896" s="17"/>
      <c r="M896" s="18"/>
      <c r="N896" s="19"/>
      <c r="P896" s="20"/>
    </row>
    <row r="897" spans="3:16" ht="15.75" customHeight="1" x14ac:dyDescent="0.3">
      <c r="C897" s="16"/>
      <c r="E897" s="17"/>
      <c r="F897" s="17"/>
      <c r="G897" s="17"/>
      <c r="H897" s="17"/>
      <c r="I897" s="17"/>
      <c r="J897" s="17"/>
      <c r="M897" s="18"/>
      <c r="N897" s="19"/>
      <c r="P897" s="20"/>
    </row>
    <row r="898" spans="3:16" ht="15.75" customHeight="1" x14ac:dyDescent="0.3">
      <c r="C898" s="16"/>
      <c r="E898" s="17"/>
      <c r="F898" s="17"/>
      <c r="G898" s="17"/>
      <c r="H898" s="17"/>
      <c r="I898" s="17"/>
      <c r="J898" s="17"/>
      <c r="M898" s="18"/>
      <c r="N898" s="19"/>
      <c r="P898" s="20"/>
    </row>
    <row r="899" spans="3:16" ht="15.75" customHeight="1" x14ac:dyDescent="0.3">
      <c r="C899" s="16"/>
      <c r="E899" s="17"/>
      <c r="F899" s="17"/>
      <c r="G899" s="17"/>
      <c r="H899" s="17"/>
      <c r="I899" s="17"/>
      <c r="J899" s="17"/>
      <c r="M899" s="18"/>
      <c r="N899" s="19"/>
      <c r="P899" s="20"/>
    </row>
    <row r="900" spans="3:16" ht="15.75" customHeight="1" x14ac:dyDescent="0.3">
      <c r="C900" s="16"/>
      <c r="E900" s="17"/>
      <c r="F900" s="17"/>
      <c r="G900" s="17"/>
      <c r="H900" s="17"/>
      <c r="I900" s="17"/>
      <c r="J900" s="17"/>
      <c r="M900" s="18"/>
      <c r="N900" s="19"/>
      <c r="P900" s="20"/>
    </row>
    <row r="901" spans="3:16" ht="15.75" customHeight="1" x14ac:dyDescent="0.3">
      <c r="C901" s="16"/>
      <c r="E901" s="17"/>
      <c r="F901" s="17"/>
      <c r="G901" s="17"/>
      <c r="H901" s="17"/>
      <c r="I901" s="17"/>
      <c r="J901" s="17"/>
      <c r="M901" s="18"/>
      <c r="N901" s="19"/>
      <c r="P901" s="20"/>
    </row>
    <row r="902" spans="3:16" ht="15.75" customHeight="1" x14ac:dyDescent="0.3">
      <c r="C902" s="16"/>
      <c r="E902" s="17"/>
      <c r="F902" s="17"/>
      <c r="G902" s="17"/>
      <c r="H902" s="17"/>
      <c r="I902" s="17"/>
      <c r="J902" s="17"/>
      <c r="M902" s="18"/>
      <c r="N902" s="19"/>
      <c r="P902" s="20"/>
    </row>
    <row r="903" spans="3:16" ht="15.75" customHeight="1" x14ac:dyDescent="0.3">
      <c r="C903" s="16"/>
      <c r="E903" s="17"/>
      <c r="F903" s="17"/>
      <c r="G903" s="17"/>
      <c r="H903" s="17"/>
      <c r="I903" s="17"/>
      <c r="J903" s="17"/>
      <c r="M903" s="18"/>
      <c r="N903" s="19"/>
      <c r="P903" s="20"/>
    </row>
    <row r="904" spans="3:16" ht="15.75" customHeight="1" x14ac:dyDescent="0.3">
      <c r="C904" s="16"/>
      <c r="E904" s="17"/>
      <c r="F904" s="17"/>
      <c r="G904" s="17"/>
      <c r="H904" s="17"/>
      <c r="I904" s="17"/>
      <c r="J904" s="17"/>
      <c r="M904" s="18"/>
      <c r="N904" s="19"/>
      <c r="P904" s="20"/>
    </row>
    <row r="905" spans="3:16" ht="15.75" customHeight="1" x14ac:dyDescent="0.3">
      <c r="C905" s="16"/>
      <c r="E905" s="17"/>
      <c r="F905" s="17"/>
      <c r="G905" s="17"/>
      <c r="H905" s="17"/>
      <c r="I905" s="17"/>
      <c r="J905" s="17"/>
      <c r="M905" s="18"/>
      <c r="N905" s="19"/>
      <c r="P905" s="20"/>
    </row>
    <row r="906" spans="3:16" ht="15.75" customHeight="1" x14ac:dyDescent="0.3">
      <c r="C906" s="16"/>
      <c r="E906" s="17"/>
      <c r="F906" s="17"/>
      <c r="G906" s="17"/>
      <c r="H906" s="17"/>
      <c r="I906" s="17"/>
      <c r="J906" s="17"/>
      <c r="M906" s="18"/>
      <c r="N906" s="19"/>
      <c r="P906" s="20"/>
    </row>
    <row r="907" spans="3:16" ht="15.75" customHeight="1" x14ac:dyDescent="0.3">
      <c r="C907" s="16"/>
      <c r="E907" s="17"/>
      <c r="F907" s="17"/>
      <c r="G907" s="17"/>
      <c r="H907" s="17"/>
      <c r="I907" s="17"/>
      <c r="J907" s="17"/>
      <c r="M907" s="18"/>
      <c r="N907" s="19"/>
      <c r="P907" s="20"/>
    </row>
    <row r="908" spans="3:16" ht="15.75" customHeight="1" x14ac:dyDescent="0.3">
      <c r="C908" s="16"/>
      <c r="E908" s="17"/>
      <c r="F908" s="17"/>
      <c r="G908" s="17"/>
      <c r="H908" s="17"/>
      <c r="I908" s="17"/>
      <c r="J908" s="17"/>
      <c r="M908" s="18"/>
      <c r="N908" s="19"/>
      <c r="P908" s="20"/>
    </row>
    <row r="909" spans="3:16" ht="15.75" customHeight="1" x14ac:dyDescent="0.3">
      <c r="C909" s="16"/>
      <c r="E909" s="17"/>
      <c r="F909" s="17"/>
      <c r="G909" s="17"/>
      <c r="H909" s="17"/>
      <c r="I909" s="17"/>
      <c r="J909" s="17"/>
      <c r="M909" s="18"/>
      <c r="N909" s="19"/>
      <c r="P909" s="20"/>
    </row>
    <row r="910" spans="3:16" ht="15.75" customHeight="1" x14ac:dyDescent="0.3">
      <c r="C910" s="16"/>
      <c r="E910" s="17"/>
      <c r="F910" s="17"/>
      <c r="G910" s="17"/>
      <c r="H910" s="17"/>
      <c r="I910" s="17"/>
      <c r="J910" s="17"/>
      <c r="M910" s="18"/>
      <c r="N910" s="19"/>
      <c r="P910" s="20"/>
    </row>
    <row r="911" spans="3:16" ht="15.75" customHeight="1" x14ac:dyDescent="0.3">
      <c r="C911" s="16"/>
      <c r="E911" s="17"/>
      <c r="F911" s="17"/>
      <c r="G911" s="17"/>
      <c r="H911" s="17"/>
      <c r="I911" s="17"/>
      <c r="J911" s="17"/>
      <c r="M911" s="18"/>
      <c r="N911" s="19"/>
      <c r="P911" s="20"/>
    </row>
    <row r="912" spans="3:16" ht="15.75" customHeight="1" x14ac:dyDescent="0.3">
      <c r="C912" s="16"/>
      <c r="E912" s="17"/>
      <c r="F912" s="17"/>
      <c r="G912" s="17"/>
      <c r="H912" s="17"/>
      <c r="I912" s="17"/>
      <c r="J912" s="17"/>
      <c r="M912" s="18"/>
      <c r="N912" s="19"/>
      <c r="P912" s="20"/>
    </row>
    <row r="913" spans="3:16" ht="15.75" customHeight="1" x14ac:dyDescent="0.3">
      <c r="C913" s="16"/>
      <c r="E913" s="17"/>
      <c r="F913" s="17"/>
      <c r="G913" s="17"/>
      <c r="H913" s="17"/>
      <c r="I913" s="17"/>
      <c r="J913" s="17"/>
      <c r="M913" s="18"/>
      <c r="N913" s="19"/>
      <c r="P913" s="20"/>
    </row>
    <row r="914" spans="3:16" ht="15.75" customHeight="1" x14ac:dyDescent="0.3">
      <c r="C914" s="16"/>
      <c r="E914" s="17"/>
      <c r="F914" s="17"/>
      <c r="G914" s="17"/>
      <c r="H914" s="17"/>
      <c r="I914" s="17"/>
      <c r="J914" s="17"/>
      <c r="M914" s="18"/>
      <c r="N914" s="19"/>
      <c r="P914" s="20"/>
    </row>
    <row r="915" spans="3:16" ht="15.75" customHeight="1" x14ac:dyDescent="0.3">
      <c r="C915" s="16"/>
      <c r="E915" s="17"/>
      <c r="F915" s="17"/>
      <c r="G915" s="17"/>
      <c r="H915" s="17"/>
      <c r="I915" s="17"/>
      <c r="J915" s="17"/>
      <c r="M915" s="18"/>
      <c r="N915" s="19"/>
      <c r="P915" s="20"/>
    </row>
    <row r="916" spans="3:16" ht="15.75" customHeight="1" x14ac:dyDescent="0.3">
      <c r="C916" s="16"/>
      <c r="E916" s="17"/>
      <c r="F916" s="17"/>
      <c r="G916" s="17"/>
      <c r="H916" s="17"/>
      <c r="I916" s="17"/>
      <c r="J916" s="17"/>
      <c r="M916" s="18"/>
      <c r="N916" s="19"/>
      <c r="P916" s="20"/>
    </row>
    <row r="917" spans="3:16" ht="15.75" customHeight="1" x14ac:dyDescent="0.3">
      <c r="C917" s="16"/>
      <c r="E917" s="17"/>
      <c r="F917" s="17"/>
      <c r="G917" s="17"/>
      <c r="H917" s="17"/>
      <c r="I917" s="17"/>
      <c r="J917" s="17"/>
      <c r="M917" s="18"/>
      <c r="N917" s="19"/>
      <c r="P917" s="20"/>
    </row>
    <row r="918" spans="3:16" ht="15.75" customHeight="1" x14ac:dyDescent="0.3">
      <c r="C918" s="16"/>
      <c r="E918" s="17"/>
      <c r="F918" s="17"/>
      <c r="G918" s="17"/>
      <c r="H918" s="17"/>
      <c r="I918" s="17"/>
      <c r="J918" s="17"/>
      <c r="M918" s="18"/>
      <c r="N918" s="19"/>
      <c r="P918" s="20"/>
    </row>
    <row r="919" spans="3:16" ht="15.75" customHeight="1" x14ac:dyDescent="0.3">
      <c r="C919" s="16"/>
      <c r="E919" s="17"/>
      <c r="F919" s="17"/>
      <c r="G919" s="17"/>
      <c r="H919" s="17"/>
      <c r="I919" s="17"/>
      <c r="J919" s="17"/>
      <c r="M919" s="18"/>
      <c r="N919" s="19"/>
      <c r="P919" s="20"/>
    </row>
    <row r="920" spans="3:16" ht="15.75" customHeight="1" x14ac:dyDescent="0.3">
      <c r="C920" s="16"/>
      <c r="E920" s="17"/>
      <c r="F920" s="17"/>
      <c r="G920" s="17"/>
      <c r="H920" s="17"/>
      <c r="I920" s="17"/>
      <c r="J920" s="17"/>
      <c r="M920" s="18"/>
      <c r="N920" s="19"/>
      <c r="P920" s="20"/>
    </row>
    <row r="921" spans="3:16" ht="15.75" customHeight="1" x14ac:dyDescent="0.3">
      <c r="C921" s="16"/>
      <c r="E921" s="17"/>
      <c r="F921" s="17"/>
      <c r="G921" s="17"/>
      <c r="H921" s="17"/>
      <c r="I921" s="17"/>
      <c r="J921" s="17"/>
      <c r="M921" s="18"/>
      <c r="N921" s="19"/>
      <c r="P921" s="20"/>
    </row>
    <row r="922" spans="3:16" ht="15.75" customHeight="1" x14ac:dyDescent="0.3">
      <c r="C922" s="16"/>
      <c r="E922" s="17"/>
      <c r="F922" s="17"/>
      <c r="G922" s="17"/>
      <c r="H922" s="17"/>
      <c r="I922" s="17"/>
      <c r="J922" s="17"/>
      <c r="M922" s="18"/>
      <c r="N922" s="19"/>
      <c r="P922" s="20"/>
    </row>
    <row r="923" spans="3:16" ht="15.75" customHeight="1" x14ac:dyDescent="0.3">
      <c r="C923" s="16"/>
      <c r="E923" s="17"/>
      <c r="F923" s="17"/>
      <c r="G923" s="17"/>
      <c r="H923" s="17"/>
      <c r="I923" s="17"/>
      <c r="J923" s="17"/>
      <c r="M923" s="18"/>
      <c r="N923" s="19"/>
      <c r="P923" s="20"/>
    </row>
    <row r="924" spans="3:16" ht="15.75" customHeight="1" x14ac:dyDescent="0.3">
      <c r="C924" s="16"/>
      <c r="E924" s="17"/>
      <c r="F924" s="17"/>
      <c r="G924" s="17"/>
      <c r="H924" s="17"/>
      <c r="I924" s="17"/>
      <c r="J924" s="17"/>
      <c r="M924" s="18"/>
      <c r="N924" s="19"/>
      <c r="P924" s="20"/>
    </row>
    <row r="925" spans="3:16" ht="15.75" customHeight="1" x14ac:dyDescent="0.3">
      <c r="C925" s="16"/>
      <c r="E925" s="17"/>
      <c r="F925" s="17"/>
      <c r="G925" s="17"/>
      <c r="H925" s="17"/>
      <c r="I925" s="17"/>
      <c r="J925" s="17"/>
      <c r="M925" s="18"/>
      <c r="N925" s="19"/>
      <c r="P925" s="20"/>
    </row>
    <row r="926" spans="3:16" ht="15.75" customHeight="1" x14ac:dyDescent="0.3">
      <c r="C926" s="16"/>
      <c r="E926" s="17"/>
      <c r="F926" s="17"/>
      <c r="G926" s="17"/>
      <c r="H926" s="17"/>
      <c r="I926" s="17"/>
      <c r="J926" s="17"/>
      <c r="M926" s="18"/>
      <c r="N926" s="19"/>
      <c r="P926" s="20"/>
    </row>
    <row r="927" spans="3:16" ht="15.75" customHeight="1" x14ac:dyDescent="0.3">
      <c r="C927" s="16"/>
      <c r="E927" s="17"/>
      <c r="F927" s="17"/>
      <c r="G927" s="17"/>
      <c r="H927" s="17"/>
      <c r="I927" s="17"/>
      <c r="J927" s="17"/>
      <c r="M927" s="18"/>
      <c r="N927" s="19"/>
      <c r="P927" s="20"/>
    </row>
    <row r="928" spans="3:16" ht="15.75" customHeight="1" x14ac:dyDescent="0.3">
      <c r="C928" s="16"/>
      <c r="E928" s="17"/>
      <c r="F928" s="17"/>
      <c r="G928" s="17"/>
      <c r="H928" s="17"/>
      <c r="I928" s="17"/>
      <c r="J928" s="17"/>
      <c r="M928" s="18"/>
      <c r="N928" s="19"/>
      <c r="P928" s="20"/>
    </row>
    <row r="929" spans="3:16" ht="15.75" customHeight="1" x14ac:dyDescent="0.3">
      <c r="C929" s="16"/>
      <c r="E929" s="17"/>
      <c r="F929" s="17"/>
      <c r="G929" s="17"/>
      <c r="H929" s="17"/>
      <c r="I929" s="17"/>
      <c r="J929" s="17"/>
      <c r="M929" s="18"/>
      <c r="N929" s="19"/>
      <c r="P929" s="20"/>
    </row>
    <row r="930" spans="3:16" ht="15.75" customHeight="1" x14ac:dyDescent="0.3">
      <c r="C930" s="16"/>
      <c r="E930" s="17"/>
      <c r="F930" s="17"/>
      <c r="G930" s="17"/>
      <c r="H930" s="17"/>
      <c r="I930" s="17"/>
      <c r="J930" s="17"/>
      <c r="M930" s="18"/>
      <c r="N930" s="19"/>
      <c r="P930" s="20"/>
    </row>
    <row r="931" spans="3:16" ht="15.75" customHeight="1" x14ac:dyDescent="0.3">
      <c r="C931" s="16"/>
      <c r="E931" s="17"/>
      <c r="F931" s="17"/>
      <c r="G931" s="17"/>
      <c r="H931" s="17"/>
      <c r="I931" s="17"/>
      <c r="J931" s="17"/>
      <c r="M931" s="18"/>
      <c r="N931" s="19"/>
      <c r="P931" s="20"/>
    </row>
    <row r="932" spans="3:16" ht="15.75" customHeight="1" x14ac:dyDescent="0.3">
      <c r="C932" s="16"/>
      <c r="E932" s="17"/>
      <c r="F932" s="17"/>
      <c r="G932" s="17"/>
      <c r="H932" s="17"/>
      <c r="I932" s="17"/>
      <c r="J932" s="17"/>
      <c r="M932" s="18"/>
      <c r="N932" s="19"/>
      <c r="P932" s="20"/>
    </row>
    <row r="933" spans="3:16" ht="15.75" customHeight="1" x14ac:dyDescent="0.3">
      <c r="C933" s="16"/>
      <c r="E933" s="17"/>
      <c r="F933" s="17"/>
      <c r="G933" s="17"/>
      <c r="H933" s="17"/>
      <c r="I933" s="17"/>
      <c r="J933" s="17"/>
      <c r="M933" s="18"/>
      <c r="N933" s="19"/>
      <c r="P933" s="20"/>
    </row>
    <row r="934" spans="3:16" ht="15.75" customHeight="1" x14ac:dyDescent="0.3">
      <c r="C934" s="16"/>
      <c r="E934" s="17"/>
      <c r="F934" s="17"/>
      <c r="G934" s="17"/>
      <c r="H934" s="17"/>
      <c r="I934" s="17"/>
      <c r="J934" s="17"/>
      <c r="M934" s="18"/>
      <c r="N934" s="19"/>
      <c r="P934" s="20"/>
    </row>
    <row r="935" spans="3:16" ht="15.75" customHeight="1" x14ac:dyDescent="0.3">
      <c r="C935" s="16"/>
      <c r="E935" s="17"/>
      <c r="F935" s="17"/>
      <c r="G935" s="17"/>
      <c r="H935" s="17"/>
      <c r="I935" s="17"/>
      <c r="J935" s="17"/>
      <c r="M935" s="18"/>
      <c r="N935" s="19"/>
      <c r="P935" s="20"/>
    </row>
    <row r="936" spans="3:16" ht="15.75" customHeight="1" x14ac:dyDescent="0.3">
      <c r="C936" s="16"/>
      <c r="E936" s="17"/>
      <c r="F936" s="17"/>
      <c r="G936" s="17"/>
      <c r="H936" s="17"/>
      <c r="I936" s="17"/>
      <c r="J936" s="17"/>
      <c r="M936" s="18"/>
      <c r="N936" s="19"/>
      <c r="P936" s="20"/>
    </row>
    <row r="937" spans="3:16" ht="15.75" customHeight="1" x14ac:dyDescent="0.3">
      <c r="C937" s="16"/>
      <c r="E937" s="17"/>
      <c r="F937" s="17"/>
      <c r="G937" s="17"/>
      <c r="H937" s="17"/>
      <c r="I937" s="17"/>
      <c r="J937" s="17"/>
      <c r="M937" s="18"/>
      <c r="N937" s="19"/>
      <c r="P937" s="20"/>
    </row>
    <row r="938" spans="3:16" ht="15.75" customHeight="1" x14ac:dyDescent="0.3">
      <c r="C938" s="16"/>
      <c r="E938" s="17"/>
      <c r="F938" s="17"/>
      <c r="G938" s="17"/>
      <c r="H938" s="17"/>
      <c r="I938" s="17"/>
      <c r="J938" s="17"/>
      <c r="M938" s="18"/>
      <c r="N938" s="19"/>
      <c r="P938" s="20"/>
    </row>
    <row r="939" spans="3:16" ht="15.75" customHeight="1" x14ac:dyDescent="0.3">
      <c r="C939" s="16"/>
      <c r="E939" s="17"/>
      <c r="F939" s="17"/>
      <c r="G939" s="17"/>
      <c r="H939" s="17"/>
      <c r="I939" s="17"/>
      <c r="J939" s="17"/>
      <c r="M939" s="18"/>
      <c r="N939" s="19"/>
      <c r="P939" s="20"/>
    </row>
    <row r="940" spans="3:16" ht="15.75" customHeight="1" x14ac:dyDescent="0.3">
      <c r="C940" s="16"/>
      <c r="E940" s="17"/>
      <c r="F940" s="17"/>
      <c r="G940" s="17"/>
      <c r="H940" s="17"/>
      <c r="I940" s="17"/>
      <c r="J940" s="17"/>
      <c r="M940" s="18"/>
      <c r="N940" s="19"/>
      <c r="P940" s="20"/>
    </row>
    <row r="941" spans="3:16" ht="15.75" customHeight="1" x14ac:dyDescent="0.3">
      <c r="C941" s="16"/>
      <c r="E941" s="17"/>
      <c r="F941" s="17"/>
      <c r="G941" s="17"/>
      <c r="H941" s="17"/>
      <c r="I941" s="17"/>
      <c r="J941" s="17"/>
      <c r="M941" s="18"/>
      <c r="N941" s="19"/>
      <c r="P941" s="20"/>
    </row>
    <row r="942" spans="3:16" ht="15.75" customHeight="1" x14ac:dyDescent="0.3">
      <c r="C942" s="16"/>
      <c r="E942" s="17"/>
      <c r="F942" s="17"/>
      <c r="G942" s="17"/>
      <c r="H942" s="17"/>
      <c r="I942" s="17"/>
      <c r="J942" s="17"/>
      <c r="M942" s="18"/>
      <c r="N942" s="19"/>
      <c r="P942" s="20"/>
    </row>
    <row r="943" spans="3:16" ht="15.75" customHeight="1" x14ac:dyDescent="0.3">
      <c r="C943" s="16"/>
      <c r="E943" s="17"/>
      <c r="F943" s="17"/>
      <c r="G943" s="17"/>
      <c r="H943" s="17"/>
      <c r="I943" s="17"/>
      <c r="J943" s="17"/>
      <c r="M943" s="18"/>
      <c r="N943" s="19"/>
      <c r="P943" s="20"/>
    </row>
    <row r="944" spans="3:16" ht="15.75" customHeight="1" x14ac:dyDescent="0.3">
      <c r="C944" s="16"/>
      <c r="E944" s="17"/>
      <c r="F944" s="17"/>
      <c r="G944" s="17"/>
      <c r="H944" s="17"/>
      <c r="I944" s="17"/>
      <c r="J944" s="17"/>
      <c r="M944" s="18"/>
      <c r="N944" s="19"/>
      <c r="P944" s="20"/>
    </row>
    <row r="945" spans="3:16" ht="15.75" customHeight="1" x14ac:dyDescent="0.3">
      <c r="C945" s="16"/>
      <c r="E945" s="17"/>
      <c r="F945" s="17"/>
      <c r="G945" s="17"/>
      <c r="H945" s="17"/>
      <c r="I945" s="17"/>
      <c r="J945" s="17"/>
      <c r="M945" s="18"/>
      <c r="N945" s="19"/>
      <c r="P945" s="20"/>
    </row>
    <row r="946" spans="3:16" ht="15.75" customHeight="1" x14ac:dyDescent="0.3">
      <c r="C946" s="16"/>
      <c r="E946" s="17"/>
      <c r="F946" s="17"/>
      <c r="G946" s="17"/>
      <c r="H946" s="17"/>
      <c r="I946" s="17"/>
      <c r="J946" s="17"/>
      <c r="M946" s="18"/>
      <c r="N946" s="19"/>
      <c r="P946" s="20"/>
    </row>
    <row r="947" spans="3:16" ht="15.75" customHeight="1" x14ac:dyDescent="0.3">
      <c r="C947" s="16"/>
      <c r="E947" s="17"/>
      <c r="F947" s="17"/>
      <c r="G947" s="17"/>
      <c r="H947" s="17"/>
      <c r="I947" s="17"/>
      <c r="J947" s="17"/>
      <c r="M947" s="18"/>
      <c r="N947" s="19"/>
      <c r="P947" s="20"/>
    </row>
    <row r="948" spans="3:16" ht="15.75" customHeight="1" x14ac:dyDescent="0.3">
      <c r="C948" s="16"/>
      <c r="E948" s="17"/>
      <c r="F948" s="17"/>
      <c r="G948" s="17"/>
      <c r="H948" s="17"/>
      <c r="I948" s="17"/>
      <c r="J948" s="17"/>
      <c r="M948" s="18"/>
      <c r="N948" s="19"/>
      <c r="P948" s="20"/>
    </row>
    <row r="949" spans="3:16" ht="15.75" customHeight="1" x14ac:dyDescent="0.3">
      <c r="C949" s="16"/>
      <c r="E949" s="17"/>
      <c r="F949" s="17"/>
      <c r="G949" s="17"/>
      <c r="H949" s="17"/>
      <c r="I949" s="17"/>
      <c r="J949" s="17"/>
      <c r="M949" s="18"/>
      <c r="N949" s="19"/>
      <c r="P949" s="20"/>
    </row>
    <row r="950" spans="3:16" ht="15.75" customHeight="1" x14ac:dyDescent="0.3">
      <c r="C950" s="16"/>
      <c r="E950" s="17"/>
      <c r="F950" s="17"/>
      <c r="G950" s="17"/>
      <c r="H950" s="17"/>
      <c r="I950" s="17"/>
      <c r="J950" s="17"/>
      <c r="M950" s="18"/>
      <c r="N950" s="19"/>
      <c r="P950" s="20"/>
    </row>
    <row r="951" spans="3:16" ht="15.75" customHeight="1" x14ac:dyDescent="0.3">
      <c r="C951" s="16"/>
      <c r="E951" s="17"/>
      <c r="F951" s="17"/>
      <c r="G951" s="17"/>
      <c r="H951" s="17"/>
      <c r="I951" s="17"/>
      <c r="J951" s="17"/>
      <c r="M951" s="18"/>
      <c r="N951" s="19"/>
      <c r="P951" s="20"/>
    </row>
    <row r="952" spans="3:16" ht="15.75" customHeight="1" x14ac:dyDescent="0.3">
      <c r="C952" s="16"/>
      <c r="E952" s="17"/>
      <c r="F952" s="17"/>
      <c r="G952" s="17"/>
      <c r="H952" s="17"/>
      <c r="I952" s="17"/>
      <c r="J952" s="17"/>
      <c r="M952" s="18"/>
      <c r="N952" s="19"/>
      <c r="P952" s="20"/>
    </row>
    <row r="953" spans="3:16" ht="15.75" customHeight="1" x14ac:dyDescent="0.3">
      <c r="C953" s="16"/>
      <c r="E953" s="17"/>
      <c r="F953" s="17"/>
      <c r="G953" s="17"/>
      <c r="H953" s="17"/>
      <c r="I953" s="17"/>
      <c r="J953" s="17"/>
      <c r="M953" s="18"/>
      <c r="N953" s="19"/>
      <c r="P953" s="20"/>
    </row>
    <row r="954" spans="3:16" ht="15.75" customHeight="1" x14ac:dyDescent="0.3">
      <c r="C954" s="16"/>
      <c r="E954" s="17"/>
      <c r="F954" s="17"/>
      <c r="G954" s="17"/>
      <c r="H954" s="17"/>
      <c r="I954" s="17"/>
      <c r="J954" s="17"/>
      <c r="M954" s="18"/>
      <c r="N954" s="19"/>
      <c r="P954" s="20"/>
    </row>
    <row r="955" spans="3:16" ht="15.75" customHeight="1" x14ac:dyDescent="0.3">
      <c r="C955" s="16"/>
      <c r="E955" s="17"/>
      <c r="F955" s="17"/>
      <c r="G955" s="17"/>
      <c r="H955" s="17"/>
      <c r="I955" s="17"/>
      <c r="J955" s="17"/>
      <c r="M955" s="18"/>
      <c r="N955" s="19"/>
      <c r="P955" s="20"/>
    </row>
    <row r="956" spans="3:16" ht="15.75" customHeight="1" x14ac:dyDescent="0.3">
      <c r="C956" s="16"/>
      <c r="E956" s="17"/>
      <c r="F956" s="17"/>
      <c r="G956" s="17"/>
      <c r="H956" s="17"/>
      <c r="I956" s="17"/>
      <c r="J956" s="17"/>
      <c r="M956" s="18"/>
      <c r="N956" s="19"/>
      <c r="P956" s="20"/>
    </row>
    <row r="957" spans="3:16" ht="15.75" customHeight="1" x14ac:dyDescent="0.3">
      <c r="C957" s="16"/>
      <c r="E957" s="17"/>
      <c r="F957" s="17"/>
      <c r="G957" s="17"/>
      <c r="H957" s="17"/>
      <c r="I957" s="17"/>
      <c r="J957" s="17"/>
      <c r="M957" s="18"/>
      <c r="N957" s="19"/>
      <c r="P957" s="20"/>
    </row>
    <row r="958" spans="3:16" ht="15.75" customHeight="1" x14ac:dyDescent="0.3">
      <c r="C958" s="16"/>
      <c r="E958" s="17"/>
      <c r="F958" s="17"/>
      <c r="G958" s="17"/>
      <c r="H958" s="17"/>
      <c r="I958" s="17"/>
      <c r="J958" s="17"/>
      <c r="M958" s="18"/>
      <c r="N958" s="19"/>
      <c r="P958" s="20"/>
    </row>
    <row r="959" spans="3:16" ht="15.75" customHeight="1" x14ac:dyDescent="0.3">
      <c r="C959" s="16"/>
      <c r="E959" s="17"/>
      <c r="F959" s="17"/>
      <c r="G959" s="17"/>
      <c r="H959" s="17"/>
      <c r="I959" s="17"/>
      <c r="J959" s="17"/>
      <c r="M959" s="18"/>
      <c r="N959" s="19"/>
      <c r="P959" s="20"/>
    </row>
    <row r="960" spans="3:16" ht="15.75" customHeight="1" x14ac:dyDescent="0.3">
      <c r="C960" s="16"/>
      <c r="E960" s="17"/>
      <c r="F960" s="17"/>
      <c r="G960" s="17"/>
      <c r="H960" s="17"/>
      <c r="I960" s="17"/>
      <c r="J960" s="17"/>
      <c r="M960" s="18"/>
      <c r="N960" s="19"/>
      <c r="P960" s="20"/>
    </row>
    <row r="961" spans="3:16" ht="15.75" customHeight="1" x14ac:dyDescent="0.3">
      <c r="C961" s="16"/>
      <c r="E961" s="17"/>
      <c r="F961" s="17"/>
      <c r="G961" s="17"/>
      <c r="H961" s="17"/>
      <c r="I961" s="17"/>
      <c r="J961" s="17"/>
      <c r="M961" s="18"/>
      <c r="N961" s="19"/>
      <c r="P961" s="20"/>
    </row>
    <row r="962" spans="3:16" ht="15.75" customHeight="1" x14ac:dyDescent="0.3">
      <c r="C962" s="16"/>
      <c r="E962" s="17"/>
      <c r="F962" s="17"/>
      <c r="G962" s="17"/>
      <c r="H962" s="17"/>
      <c r="I962" s="17"/>
      <c r="J962" s="17"/>
      <c r="M962" s="18"/>
      <c r="N962" s="19"/>
      <c r="P962" s="20"/>
    </row>
    <row r="963" spans="3:16" ht="15.75" customHeight="1" x14ac:dyDescent="0.3">
      <c r="C963" s="16"/>
      <c r="E963" s="17"/>
      <c r="F963" s="17"/>
      <c r="G963" s="17"/>
      <c r="H963" s="17"/>
      <c r="I963" s="17"/>
      <c r="J963" s="17"/>
      <c r="M963" s="18"/>
      <c r="N963" s="19"/>
      <c r="P963" s="20"/>
    </row>
    <row r="964" spans="3:16" ht="15.75" customHeight="1" x14ac:dyDescent="0.3">
      <c r="C964" s="16"/>
      <c r="E964" s="17"/>
      <c r="F964" s="17"/>
      <c r="G964" s="17"/>
      <c r="H964" s="17"/>
      <c r="I964" s="17"/>
      <c r="J964" s="17"/>
      <c r="M964" s="18"/>
      <c r="N964" s="19"/>
      <c r="P964" s="20"/>
    </row>
    <row r="965" spans="3:16" ht="15.75" customHeight="1" x14ac:dyDescent="0.3">
      <c r="C965" s="16"/>
      <c r="E965" s="17"/>
      <c r="F965" s="17"/>
      <c r="G965" s="17"/>
      <c r="H965" s="17"/>
      <c r="I965" s="17"/>
      <c r="J965" s="17"/>
      <c r="M965" s="18"/>
      <c r="N965" s="19"/>
      <c r="P965" s="20"/>
    </row>
    <row r="966" spans="3:16" ht="15.75" customHeight="1" x14ac:dyDescent="0.3">
      <c r="C966" s="16"/>
      <c r="E966" s="17"/>
      <c r="F966" s="17"/>
      <c r="G966" s="17"/>
      <c r="H966" s="17"/>
      <c r="I966" s="17"/>
      <c r="J966" s="17"/>
      <c r="M966" s="18"/>
      <c r="N966" s="19"/>
      <c r="P966" s="20"/>
    </row>
    <row r="967" spans="3:16" ht="15.75" customHeight="1" x14ac:dyDescent="0.3">
      <c r="C967" s="16"/>
      <c r="E967" s="17"/>
      <c r="F967" s="17"/>
      <c r="G967" s="17"/>
      <c r="H967" s="17"/>
      <c r="I967" s="17"/>
      <c r="J967" s="17"/>
      <c r="M967" s="18"/>
      <c r="N967" s="19"/>
      <c r="P967" s="20"/>
    </row>
    <row r="968" spans="3:16" ht="15.75" customHeight="1" x14ac:dyDescent="0.3">
      <c r="C968" s="16"/>
      <c r="E968" s="17"/>
      <c r="F968" s="17"/>
      <c r="G968" s="17"/>
      <c r="H968" s="17"/>
      <c r="I968" s="17"/>
      <c r="J968" s="17"/>
      <c r="M968" s="18"/>
      <c r="N968" s="19"/>
      <c r="P968" s="20"/>
    </row>
    <row r="969" spans="3:16" ht="15.75" customHeight="1" x14ac:dyDescent="0.3">
      <c r="C969" s="16"/>
      <c r="E969" s="17"/>
      <c r="F969" s="17"/>
      <c r="G969" s="17"/>
      <c r="H969" s="17"/>
      <c r="I969" s="17"/>
      <c r="J969" s="17"/>
      <c r="M969" s="18"/>
      <c r="N969" s="19"/>
      <c r="P969" s="20"/>
    </row>
    <row r="970" spans="3:16" ht="15.75" customHeight="1" x14ac:dyDescent="0.3">
      <c r="C970" s="16"/>
      <c r="E970" s="17"/>
      <c r="F970" s="17"/>
      <c r="G970" s="17"/>
      <c r="H970" s="17"/>
      <c r="I970" s="17"/>
      <c r="J970" s="17"/>
      <c r="M970" s="18"/>
      <c r="N970" s="19"/>
      <c r="P970" s="20"/>
    </row>
    <row r="971" spans="3:16" ht="15.75" customHeight="1" x14ac:dyDescent="0.3">
      <c r="C971" s="16"/>
      <c r="E971" s="17"/>
      <c r="F971" s="17"/>
      <c r="G971" s="17"/>
      <c r="H971" s="17"/>
      <c r="I971" s="17"/>
      <c r="J971" s="17"/>
      <c r="M971" s="18"/>
      <c r="N971" s="19"/>
      <c r="P971" s="20"/>
    </row>
    <row r="972" spans="3:16" ht="15.75" customHeight="1" x14ac:dyDescent="0.3">
      <c r="C972" s="16"/>
      <c r="E972" s="17"/>
      <c r="F972" s="17"/>
      <c r="G972" s="17"/>
      <c r="H972" s="17"/>
      <c r="I972" s="17"/>
      <c r="J972" s="17"/>
      <c r="M972" s="18"/>
      <c r="N972" s="19"/>
      <c r="P972" s="20"/>
    </row>
    <row r="973" spans="3:16" ht="15.75" customHeight="1" x14ac:dyDescent="0.3">
      <c r="C973" s="16"/>
      <c r="E973" s="17"/>
      <c r="F973" s="17"/>
      <c r="G973" s="17"/>
      <c r="H973" s="17"/>
      <c r="I973" s="17"/>
      <c r="J973" s="17"/>
      <c r="M973" s="18"/>
      <c r="N973" s="19"/>
      <c r="P973" s="20"/>
    </row>
    <row r="974" spans="3:16" ht="15.75" customHeight="1" x14ac:dyDescent="0.3">
      <c r="C974" s="16"/>
      <c r="E974" s="17"/>
      <c r="F974" s="17"/>
      <c r="G974" s="17"/>
      <c r="H974" s="17"/>
      <c r="I974" s="17"/>
      <c r="J974" s="17"/>
      <c r="M974" s="18"/>
      <c r="N974" s="19"/>
      <c r="P974" s="20"/>
    </row>
    <row r="975" spans="3:16" ht="15.75" customHeight="1" x14ac:dyDescent="0.3">
      <c r="C975" s="16"/>
      <c r="E975" s="17"/>
      <c r="F975" s="17"/>
      <c r="G975" s="17"/>
      <c r="H975" s="17"/>
      <c r="I975" s="17"/>
      <c r="J975" s="17"/>
      <c r="M975" s="18"/>
      <c r="N975" s="19"/>
      <c r="P975" s="20"/>
    </row>
    <row r="976" spans="3:16" ht="15.75" customHeight="1" x14ac:dyDescent="0.3">
      <c r="C976" s="16"/>
      <c r="E976" s="17"/>
      <c r="F976" s="17"/>
      <c r="G976" s="17"/>
      <c r="H976" s="17"/>
      <c r="I976" s="17"/>
      <c r="J976" s="17"/>
      <c r="M976" s="18"/>
      <c r="N976" s="19"/>
      <c r="P976" s="20"/>
    </row>
    <row r="977" spans="3:16" ht="15.75" customHeight="1" x14ac:dyDescent="0.3">
      <c r="C977" s="16"/>
      <c r="E977" s="17"/>
      <c r="F977" s="17"/>
      <c r="G977" s="17"/>
      <c r="H977" s="17"/>
      <c r="I977" s="17"/>
      <c r="J977" s="17"/>
      <c r="M977" s="18"/>
      <c r="N977" s="19"/>
      <c r="P977" s="20"/>
    </row>
    <row r="978" spans="3:16" ht="15.75" customHeight="1" x14ac:dyDescent="0.3">
      <c r="C978" s="16"/>
      <c r="E978" s="17"/>
      <c r="F978" s="17"/>
      <c r="G978" s="17"/>
      <c r="H978" s="17"/>
      <c r="I978" s="17"/>
      <c r="J978" s="17"/>
      <c r="M978" s="18"/>
      <c r="N978" s="19"/>
      <c r="P978" s="20"/>
    </row>
    <row r="979" spans="3:16" ht="15.75" customHeight="1" x14ac:dyDescent="0.3">
      <c r="C979" s="16"/>
      <c r="E979" s="17"/>
      <c r="F979" s="17"/>
      <c r="G979" s="17"/>
      <c r="H979" s="17"/>
      <c r="I979" s="17"/>
      <c r="J979" s="17"/>
      <c r="M979" s="18"/>
      <c r="N979" s="19"/>
      <c r="P979" s="20"/>
    </row>
    <row r="980" spans="3:16" ht="15.75" customHeight="1" x14ac:dyDescent="0.3">
      <c r="C980" s="16"/>
      <c r="E980" s="17"/>
      <c r="F980" s="17"/>
      <c r="G980" s="17"/>
      <c r="H980" s="17"/>
      <c r="I980" s="17"/>
      <c r="J980" s="17"/>
      <c r="M980" s="18"/>
      <c r="N980" s="19"/>
      <c r="P980" s="20"/>
    </row>
    <row r="981" spans="3:16" ht="15.75" customHeight="1" x14ac:dyDescent="0.3">
      <c r="C981" s="16"/>
      <c r="E981" s="17"/>
      <c r="F981" s="17"/>
      <c r="G981" s="17"/>
      <c r="H981" s="17"/>
      <c r="I981" s="17"/>
      <c r="J981" s="17"/>
      <c r="M981" s="18"/>
      <c r="N981" s="19"/>
      <c r="P981" s="20"/>
    </row>
    <row r="982" spans="3:16" ht="15.75" customHeight="1" x14ac:dyDescent="0.3">
      <c r="C982" s="16"/>
      <c r="E982" s="17"/>
      <c r="F982" s="17"/>
      <c r="G982" s="17"/>
      <c r="H982" s="17"/>
      <c r="I982" s="17"/>
      <c r="J982" s="17"/>
      <c r="M982" s="18"/>
      <c r="N982" s="19"/>
      <c r="P982" s="20"/>
    </row>
    <row r="983" spans="3:16" ht="15.75" customHeight="1" x14ac:dyDescent="0.3">
      <c r="C983" s="16"/>
      <c r="E983" s="17"/>
      <c r="F983" s="17"/>
      <c r="G983" s="17"/>
      <c r="H983" s="17"/>
      <c r="I983" s="17"/>
      <c r="J983" s="17"/>
      <c r="M983" s="18"/>
      <c r="N983" s="19"/>
      <c r="P983" s="20"/>
    </row>
    <row r="984" spans="3:16" ht="15.75" customHeight="1" x14ac:dyDescent="0.3">
      <c r="C984" s="16"/>
      <c r="E984" s="17"/>
      <c r="F984" s="17"/>
      <c r="G984" s="17"/>
      <c r="H984" s="17"/>
      <c r="I984" s="17"/>
      <c r="J984" s="17"/>
      <c r="M984" s="18"/>
      <c r="N984" s="19"/>
      <c r="P984" s="20"/>
    </row>
    <row r="985" spans="3:16" ht="15.75" customHeight="1" x14ac:dyDescent="0.3">
      <c r="C985" s="16"/>
      <c r="E985" s="17"/>
      <c r="F985" s="17"/>
      <c r="G985" s="17"/>
      <c r="H985" s="17"/>
      <c r="I985" s="17"/>
      <c r="J985" s="17"/>
      <c r="M985" s="18"/>
      <c r="N985" s="19"/>
      <c r="P985" s="20"/>
    </row>
    <row r="986" spans="3:16" ht="15.75" customHeight="1" x14ac:dyDescent="0.3">
      <c r="C986" s="16"/>
      <c r="E986" s="17"/>
      <c r="F986" s="17"/>
      <c r="G986" s="17"/>
      <c r="H986" s="17"/>
      <c r="I986" s="17"/>
      <c r="J986" s="17"/>
      <c r="M986" s="18"/>
      <c r="N986" s="19"/>
      <c r="P986" s="20"/>
    </row>
    <row r="987" spans="3:16" ht="15.75" customHeight="1" x14ac:dyDescent="0.3">
      <c r="C987" s="16"/>
      <c r="E987" s="17"/>
      <c r="F987" s="17"/>
      <c r="G987" s="17"/>
      <c r="H987" s="17"/>
      <c r="I987" s="17"/>
      <c r="J987" s="17"/>
      <c r="M987" s="18"/>
      <c r="N987" s="19"/>
      <c r="P987" s="20"/>
    </row>
    <row r="988" spans="3:16" ht="15.75" customHeight="1" x14ac:dyDescent="0.3">
      <c r="C988" s="16"/>
      <c r="E988" s="17"/>
      <c r="F988" s="17"/>
      <c r="G988" s="17"/>
      <c r="H988" s="17"/>
      <c r="I988" s="17"/>
      <c r="J988" s="17"/>
      <c r="M988" s="18"/>
      <c r="N988" s="19"/>
      <c r="P988" s="20"/>
    </row>
    <row r="989" spans="3:16" ht="15.75" customHeight="1" x14ac:dyDescent="0.3">
      <c r="C989" s="16"/>
      <c r="E989" s="17"/>
      <c r="F989" s="17"/>
      <c r="G989" s="17"/>
      <c r="H989" s="17"/>
      <c r="I989" s="17"/>
      <c r="J989" s="17"/>
      <c r="M989" s="18"/>
      <c r="N989" s="19"/>
      <c r="P989" s="20"/>
    </row>
    <row r="990" spans="3:16" ht="15.75" customHeight="1" x14ac:dyDescent="0.3">
      <c r="C990" s="16"/>
      <c r="E990" s="17"/>
      <c r="F990" s="17"/>
      <c r="G990" s="17"/>
      <c r="H990" s="17"/>
      <c r="I990" s="17"/>
      <c r="J990" s="17"/>
      <c r="M990" s="18"/>
      <c r="N990" s="19"/>
      <c r="P990" s="20"/>
    </row>
    <row r="991" spans="3:16" ht="15.75" customHeight="1" x14ac:dyDescent="0.3">
      <c r="C991" s="16"/>
      <c r="E991" s="17"/>
      <c r="F991" s="17"/>
      <c r="G991" s="17"/>
      <c r="H991" s="17"/>
      <c r="I991" s="17"/>
      <c r="J991" s="17"/>
      <c r="M991" s="18"/>
      <c r="N991" s="19"/>
      <c r="P991" s="20"/>
    </row>
    <row r="992" spans="3:16" ht="15.75" customHeight="1" x14ac:dyDescent="0.3">
      <c r="C992" s="16"/>
      <c r="E992" s="17"/>
      <c r="F992" s="17"/>
      <c r="G992" s="17"/>
      <c r="H992" s="17"/>
      <c r="I992" s="17"/>
      <c r="J992" s="17"/>
      <c r="M992" s="18"/>
      <c r="N992" s="19"/>
      <c r="P992" s="20"/>
    </row>
    <row r="993" spans="3:16" ht="15.75" customHeight="1" x14ac:dyDescent="0.3">
      <c r="C993" s="16"/>
      <c r="E993" s="17"/>
      <c r="F993" s="17"/>
      <c r="G993" s="17"/>
      <c r="H993" s="17"/>
      <c r="I993" s="17"/>
      <c r="J993" s="17"/>
      <c r="M993" s="18"/>
      <c r="N993" s="19"/>
      <c r="P993" s="20"/>
    </row>
    <row r="994" spans="3:16" ht="15.75" customHeight="1" x14ac:dyDescent="0.3">
      <c r="C994" s="16"/>
      <c r="E994" s="17"/>
      <c r="F994" s="17"/>
      <c r="G994" s="17"/>
      <c r="H994" s="17"/>
      <c r="I994" s="17"/>
      <c r="J994" s="17"/>
      <c r="M994" s="18"/>
      <c r="N994" s="19"/>
      <c r="P994" s="20"/>
    </row>
    <row r="995" spans="3:16" ht="15.75" customHeight="1" x14ac:dyDescent="0.3">
      <c r="C995" s="16"/>
      <c r="E995" s="17"/>
      <c r="F995" s="17"/>
      <c r="G995" s="17"/>
      <c r="H995" s="17"/>
      <c r="I995" s="17"/>
      <c r="J995" s="17"/>
      <c r="M995" s="18"/>
      <c r="N995" s="19"/>
      <c r="P995" s="20"/>
    </row>
    <row r="996" spans="3:16" ht="15.75" customHeight="1" x14ac:dyDescent="0.3">
      <c r="C996" s="16"/>
      <c r="E996" s="17"/>
      <c r="F996" s="17"/>
      <c r="G996" s="17"/>
      <c r="H996" s="17"/>
      <c r="I996" s="17"/>
      <c r="J996" s="17"/>
      <c r="M996" s="18"/>
      <c r="N996" s="19"/>
      <c r="P996" s="20"/>
    </row>
    <row r="997" spans="3:16" ht="15.75" customHeight="1" x14ac:dyDescent="0.3">
      <c r="C997" s="16"/>
      <c r="E997" s="17"/>
      <c r="F997" s="17"/>
      <c r="G997" s="17"/>
      <c r="H997" s="17"/>
      <c r="I997" s="17"/>
      <c r="J997" s="17"/>
      <c r="M997" s="18"/>
      <c r="N997" s="19"/>
      <c r="P997" s="20"/>
    </row>
    <row r="998" spans="3:16" ht="15.75" customHeight="1" x14ac:dyDescent="0.3">
      <c r="C998" s="16"/>
      <c r="E998" s="17"/>
      <c r="F998" s="17"/>
      <c r="G998" s="17"/>
      <c r="H998" s="17"/>
      <c r="I998" s="17"/>
      <c r="J998" s="17"/>
      <c r="M998" s="18"/>
      <c r="N998" s="19"/>
      <c r="P998" s="20"/>
    </row>
    <row r="999" spans="3:16" ht="15.75" customHeight="1" x14ac:dyDescent="0.3">
      <c r="C999" s="16"/>
      <c r="E999" s="17"/>
      <c r="F999" s="17"/>
      <c r="G999" s="17"/>
      <c r="H999" s="17"/>
      <c r="I999" s="17"/>
      <c r="J999" s="17"/>
      <c r="M999" s="18"/>
      <c r="N999" s="19"/>
      <c r="P999" s="20"/>
    </row>
    <row r="1000" spans="3:16" ht="15.75" customHeight="1" x14ac:dyDescent="0.3">
      <c r="C1000" s="16"/>
      <c r="E1000" s="17"/>
      <c r="F1000" s="17"/>
      <c r="G1000" s="17"/>
      <c r="H1000" s="17"/>
      <c r="I1000" s="17"/>
      <c r="J1000" s="17"/>
      <c r="M1000" s="18"/>
      <c r="N1000" s="19"/>
      <c r="P1000" s="20"/>
    </row>
  </sheetData>
  <autoFilter ref="A1:P701" xr:uid="{00000000-0009-0000-0000-000000000000}">
    <sortState xmlns:xlrd2="http://schemas.microsoft.com/office/spreadsheetml/2017/richdata2" ref="A2:P701">
      <sortCondition ref="J1:J701"/>
    </sortState>
  </autoFilter>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Manufacturing_Price</vt:lpstr>
      <vt:lpstr>Country-UnitsSold</vt:lpstr>
      <vt:lpstr>Product-Sales-Profit</vt:lpstr>
      <vt:lpstr>Sheet5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Anurag Patil</cp:lastModifiedBy>
  <dcterms:created xsi:type="dcterms:W3CDTF">2014-01-28T02:45:41Z</dcterms:created>
  <dcterms:modified xsi:type="dcterms:W3CDTF">2025-09-05T01:26:55Z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