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CD0699-E8EE-4517-B86A-E2C817078E2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heet4" sheetId="4" r:id="rId1"/>
    <sheet name="Sheet5" sheetId="5" r:id="rId2"/>
    <sheet name="Sheet6" sheetId="6" r:id="rId3"/>
    <sheet name="Sheet1" sheetId="1" r:id="rId4"/>
  </sheets>
  <calcPr calcId="191029"/>
  <pivotCaches>
    <pivotCache cacheId="8" r:id="rId5"/>
  </pivotCaches>
  <extLs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H4" i="1" l="1"/>
  <c r="H3" i="1"/>
  <c r="H17" i="1"/>
  <c r="H18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<sst xmlns="http://schemas.openxmlformats.org/spreadsheetml/2006/main" count="116" uniqueCount="49">
  <si>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</si>
  <si>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</si>
  <si>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</si>
  <si>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</si>
  <si>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</si>
  <si>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</si>
  <si>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</si>
  <si>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</si>
  <si>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</si>
  <si>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</si>
  <si>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</si>
  <si>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</si>
  <si>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</si>
  <si>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</si>
  <si>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</si>
  <si>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</si>
  <si>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</si>
  <si>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</si>
  <si>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</si>
  <si>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</si>
  <si>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</si>
  <si>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</si>
  <si>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</si>
  <si>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</si>
  <si>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</si>
  <si>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</si>
  <si>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</si>
  <si>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</si>
  <si>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</si>
  <si>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</si>
  <si>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</si>
  <si>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</si>
  <si>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</si>
  <si>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</si>
  <si>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</si>
  <si>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</si>
  <si>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</si>
  <si>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</si>
  <si>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</si>
  <si>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Total Stock Value</t>
  </si>
  <si>
    <t>Row Labels</t>
  </si>
  <si>
    <t>Grand Total</t>
  </si>
  <si>
    <t>Count of Store_Location</t>
  </si>
  <si>
    <t>Sum of Total Stock Value</t>
  </si>
  <si>
    <t>Column Labels</t>
  </si>
  <si>
    <t>Sum of Unit Price</t>
  </si>
  <si>
    <t>Total Sum of Unit Price</t>
  </si>
  <si>
    <t>Total Sum of Total Stock Value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</si>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</sst>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[Inventory_new.xlsx]Sheet4!PivotTable1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Sheet4!$A$4:$A$20</c:f>
              <c:strCache>
                <c:ptCount val="16"/>
                <c:pt idx="0">
                  <c:v>Bell Housing</c:v>
                </c:pt>
                <c:pt idx="1">
                  <c:v>Caulk - Clear</c:v>
                </c:pt>
                <c:pt idx="2">
                  <c:v>Caulk - White</c:v>
                </c:pt>
                <c:pt idx="3">
                  <c:v>Cement - PreMix</c:v>
                </c:pt>
                <c:pt idx="4">
                  <c:v>Electric Pump 300 amps</c:v>
                </c:pt>
                <c:pt idx="5">
                  <c:v>Electric Pump 750 amps</c:v>
                </c:pt>
                <c:pt idx="6">
                  <c:v>Flange</c:v>
                </c:pt>
                <c:pt idx="7">
                  <c:v>Gasket</c:v>
                </c:pt>
                <c:pt idx="8">
                  <c:v>Manual Pump</c:v>
                </c:pt>
                <c:pt idx="9">
                  <c:v>Pipe 1/2" L-Shape</c:v>
                </c:pt>
                <c:pt idx="10">
                  <c:v>Pipe 1/2" Straight</c:v>
                </c:pt>
                <c:pt idx="11">
                  <c:v>Pipe 1/4" Straight</c:v>
                </c:pt>
                <c:pt idx="12">
                  <c:v>Pipe 3/4" Curved</c:v>
                </c:pt>
                <c:pt idx="13">
                  <c:v>Rubber Stop</c:v>
                </c:pt>
                <c:pt idx="14">
                  <c:v>Tiles - quarter-cut </c:v>
                </c:pt>
                <c:pt idx="15">
                  <c:v>Tiles - third-cut</c:v>
                </c:pt>
              </c:strCache>
            </c:strRef>
          </c:cat>
          <c:val>
            <c:numRef>
              <c:f>Sheet4!$B$4:$B$20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6-4019-ACB3-1846CA31E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00336"/>
        <c:axId val="177500816"/>
      </c:barChart>
      <c:catAx>
        <c:axId val="17750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00816"/>
        <c:crosses val="autoZero"/>
        <c:auto val="1"/>
        <c:lblAlgn val="ctr"/>
        <c:lblOffset val="100"/>
        <c:noMultiLvlLbl val="0"/>
      </c:catAx>
      <c:valAx>
        <c:axId val="1775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0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[Inventory_new.xlsx]Sheet5!PivotTable2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Sheet5!$A$4:$A$15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Sheet5!$B$4:$B$15</c:f>
              <c:numCache>
                <c:formatCode>[$$-409]#,##0.00</c:formatCode>
                <c:ptCount val="11"/>
                <c:pt idx="0">
                  <c:v>1749.85</c:v>
                </c:pt>
                <c:pt idx="1">
                  <c:v>900</c:v>
                </c:pt>
                <c:pt idx="2">
                  <c:v>1161.75</c:v>
                </c:pt>
                <c:pt idx="3">
                  <c:v>1498.9</c:v>
                </c:pt>
                <c:pt idx="4">
                  <c:v>1572.75</c:v>
                </c:pt>
                <c:pt idx="5">
                  <c:v>995</c:v>
                </c:pt>
                <c:pt idx="6">
                  <c:v>1997.5</c:v>
                </c:pt>
                <c:pt idx="7">
                  <c:v>13980</c:v>
                </c:pt>
                <c:pt idx="8">
                  <c:v>7026.5000000000009</c:v>
                </c:pt>
                <c:pt idx="9">
                  <c:v>16125.029999999999</c:v>
                </c:pt>
                <c:pt idx="10">
                  <c:v>23940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1-4D64-BA94-3D792EC1B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98896"/>
        <c:axId val="177470096"/>
      </c:barChart>
      <c:catAx>
        <c:axId val="17749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0096"/>
        <c:crosses val="autoZero"/>
        <c:auto val="1"/>
        <c:lblAlgn val="ctr"/>
        <c:lblOffset val="100"/>
        <c:noMultiLvlLbl val="0"/>
      </c:catAx>
      <c:valAx>
        <c:axId val="1774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9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[Inventory_new.xlsx]Sheet6!PivotTable3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Sheet6!$B$3:$B$5</c:f>
              <c:strCache>
                <c:ptCount val="1"/>
                <c:pt idx="0">
                  <c:v>2 - Sum of Unit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Sheet6!$B$6:$B$17</c:f>
              <c:numCache>
                <c:formatCode>[$$-409]#,##0.00</c:formatCode>
                <c:ptCount val="11"/>
                <c:pt idx="1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4-4B99-954C-934DF40FA178}"/>
            </c:ext>
          </c:extLst>
        </c:ser>
        <c:ser>
          <c:idx val="1"/>
          <c:order val="1"/>
          <c:tx>
            <c:strRef>
              <c:f>Sheet6!$C$3:$C$5</c:f>
              <c:strCache>
                <c:ptCount val="1"/>
                <c:pt idx="0">
                  <c:v>2 - Sum of Total Stock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Sheet6!$C$6:$C$17</c:f>
              <c:numCache>
                <c:formatCode>[$$-409]#,##0.00</c:formatCode>
                <c:ptCount val="11"/>
                <c:pt idx="1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4-4B99-954C-934DF40FA178}"/>
            </c:ext>
          </c:extLst>
        </c:ser>
        <c:ser>
          <c:idx val="2"/>
          <c:order val="2"/>
          <c:tx>
            <c:strRef>
              <c:f>Sheet6!$D$3:$D$5</c:f>
              <c:strCache>
                <c:ptCount val="1"/>
                <c:pt idx="0">
                  <c:v>5 - Sum of Unit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Sheet6!$D$6:$D$17</c:f>
              <c:numCache>
                <c:formatCode>[$$-409]#,##0.00</c:formatCode>
                <c:ptCount val="11"/>
                <c:pt idx="0">
                  <c:v>149.99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4-4B99-954C-934DF40FA178}"/>
            </c:ext>
          </c:extLst>
        </c:ser>
        <c:ser>
          <c:idx val="3"/>
          <c:order val="3"/>
          <c:tx>
            <c:strRef>
              <c:f>Sheet6!$E$3:$E$5</c:f>
              <c:strCache>
                <c:ptCount val="1"/>
                <c:pt idx="0">
                  <c:v>5 - Sum of Total Stock 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Sheet6!$E$6:$E$17</c:f>
              <c:numCache>
                <c:formatCode>[$$-409]#,##0.00</c:formatCode>
                <c:ptCount val="11"/>
                <c:pt idx="0">
                  <c:v>749.95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84-4B99-954C-934DF40FA178}"/>
            </c:ext>
          </c:extLst>
        </c:ser>
        <c:ser>
          <c:idx val="4"/>
          <c:order val="4"/>
          <c:tx>
            <c:strRef>
              <c:f>Sheet6!$F$3:$F$5</c:f>
              <c:strCache>
                <c:ptCount val="1"/>
                <c:pt idx="0">
                  <c:v>10 - Sum of Unit Price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Sheet6!$F$6:$F$17</c:f>
              <c:numCache>
                <c:formatCode>[$$-409]#,##0.00</c:formatCode>
                <c:ptCount val="11"/>
                <c:pt idx="0">
                  <c:v>99.99</c:v>
                </c:pt>
                <c:pt idx="3">
                  <c:v>59.99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84-4B99-954C-934DF40FA178}"/>
            </c:ext>
          </c:extLst>
        </c:ser>
        <c:ser>
          <c:idx val="5"/>
          <c:order val="5"/>
          <c:tx>
            <c:strRef>
              <c:f>Sheet6!$G$3:$G$5</c:f>
              <c:strCache>
                <c:ptCount val="1"/>
                <c:pt idx="0">
                  <c:v>10 - Sum of Total Stock Value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Sheet6!$G$6:$G$17</c:f>
              <c:numCache>
                <c:formatCode>[$$-409]#,##0.00</c:formatCode>
                <c:ptCount val="11"/>
                <c:pt idx="0">
                  <c:v>999.9</c:v>
                </c:pt>
                <c:pt idx="3">
                  <c:v>599.9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84-4B99-954C-934DF40FA178}"/>
            </c:ext>
          </c:extLst>
        </c:ser>
        <c:ser>
          <c:idx val="6"/>
          <c:order val="6"/>
          <c:tx>
            <c:strRef>
              <c:f>Sheet6!$H$3:$H$5</c:f>
              <c:strCache>
                <c:ptCount val="1"/>
                <c:pt idx="0">
                  <c:v>50 - Sum of Unit Price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Sheet6!$H$6:$H$17</c:f>
              <c:numCache>
                <c:formatCode>[$$-409]#,##0.00</c:formatCode>
                <c:ptCount val="11"/>
                <c:pt idx="9">
                  <c:v>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84-4B99-954C-934DF40FA178}"/>
            </c:ext>
          </c:extLst>
        </c:ser>
        <c:ser>
          <c:idx val="7"/>
          <c:order val="7"/>
          <c:tx>
            <c:strRef>
              <c:f>Sheet6!$I$3:$I$5</c:f>
              <c:strCache>
                <c:ptCount val="1"/>
                <c:pt idx="0">
                  <c:v>50 - Sum of Total Stock Value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Sheet6!$I$6:$I$17</c:f>
              <c:numCache>
                <c:formatCode>[$$-409]#,##0.00</c:formatCode>
                <c:ptCount val="11"/>
                <c:pt idx="9">
                  <c:v>299.5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84-4B99-954C-934DF40FA178}"/>
            </c:ext>
          </c:extLst>
        </c:ser>
        <c:ser>
          <c:idx val="8"/>
          <c:order val="8"/>
          <c:tx>
            <c:strRef>
              <c:f>Sheet6!$J$3:$J$5</c:f>
              <c:strCache>
                <c:ptCount val="1"/>
                <c:pt idx="0">
                  <c:v>75 - Sum of Unit Price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Sheet6!$J$6:$J$17</c:f>
              <c:numCache>
                <c:formatCode>[$$-409]#,##0.00</c:formatCode>
                <c:ptCount val="11"/>
                <c:pt idx="2">
                  <c:v>15.49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84-4B99-954C-934DF40FA178}"/>
            </c:ext>
          </c:extLst>
        </c:ser>
        <c:ser>
          <c:idx val="9"/>
          <c:order val="9"/>
          <c:tx>
            <c:strRef>
              <c:f>Sheet6!$K$3:$K$5</c:f>
              <c:strCache>
                <c:ptCount val="1"/>
                <c:pt idx="0">
                  <c:v>75 - Sum of Total Stock Value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Sheet6!$K$6:$K$17</c:f>
              <c:numCache>
                <c:formatCode>[$$-409]#,##0.00</c:formatCode>
                <c:ptCount val="11"/>
                <c:pt idx="2">
                  <c:v>1161.75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C84-4B99-954C-934DF40FA178}"/>
            </c:ext>
          </c:extLst>
        </c:ser>
        <c:ser>
          <c:idx val="10"/>
          <c:order val="10"/>
          <c:tx>
            <c:strRef>
              <c:f>Sheet6!$L$3:$L$5</c:f>
              <c:strCache>
                <c:ptCount val="1"/>
                <c:pt idx="0">
                  <c:v>100 - Sum of Unit Price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Sheet6!$L$6:$L$17</c:f>
              <c:numCache>
                <c:formatCode>[$$-409]#,##0.00</c:formatCode>
                <c:ptCount val="11"/>
                <c:pt idx="3">
                  <c:v>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84-4B99-954C-934DF40FA178}"/>
            </c:ext>
          </c:extLst>
        </c:ser>
        <c:ser>
          <c:idx val="11"/>
          <c:order val="11"/>
          <c:tx>
            <c:strRef>
              <c:f>Sheet6!$M$3:$M$5</c:f>
              <c:strCache>
                <c:ptCount val="1"/>
                <c:pt idx="0">
                  <c:v>100 - Sum of Total Stock Value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Sheet6!$M$6:$M$17</c:f>
              <c:numCache>
                <c:formatCode>[$$-409]#,##0.00</c:formatCode>
                <c:ptCount val="11"/>
                <c:pt idx="3">
                  <c:v>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C84-4B99-954C-934DF40FA178}"/>
            </c:ext>
          </c:extLst>
        </c:ser>
        <c:ser>
          <c:idx val="12"/>
          <c:order val="12"/>
          <c:tx>
            <c:strRef>
              <c:f>Sheet6!$N$3:$N$5</c:f>
              <c:strCache>
                <c:ptCount val="1"/>
                <c:pt idx="0">
                  <c:v>225 - Sum of Unit Price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Sheet6!$N$6:$N$17</c:f>
              <c:numCache>
                <c:formatCode>[$$-409]#,##0.00</c:formatCode>
                <c:ptCount val="11"/>
                <c:pt idx="4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84-4B99-954C-934DF40FA178}"/>
            </c:ext>
          </c:extLst>
        </c:ser>
        <c:ser>
          <c:idx val="13"/>
          <c:order val="13"/>
          <c:tx>
            <c:strRef>
              <c:f>Sheet6!$O$3:$O$5</c:f>
              <c:strCache>
                <c:ptCount val="1"/>
                <c:pt idx="0">
                  <c:v>225 - Sum of Total Stock Value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Sheet6!$O$6:$O$17</c:f>
              <c:numCache>
                <c:formatCode>[$$-409]#,##0.00</c:formatCode>
                <c:ptCount val="11"/>
                <c:pt idx="4">
                  <c:v>1572.75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C84-4B99-954C-934DF40FA178}"/>
            </c:ext>
          </c:extLst>
        </c:ser>
        <c:ser>
          <c:idx val="14"/>
          <c:order val="14"/>
          <c:tx>
            <c:strRef>
              <c:f>Sheet6!$P$3:$P$5</c:f>
              <c:strCache>
                <c:ptCount val="1"/>
                <c:pt idx="0">
                  <c:v>250 - Sum of Unit Price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Sheet6!$P$6:$P$17</c:f>
              <c:numCache>
                <c:formatCode>[$$-409]#,##0.00</c:formatCode>
                <c:ptCount val="11"/>
                <c:pt idx="6">
                  <c:v>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C84-4B99-954C-934DF40FA178}"/>
            </c:ext>
          </c:extLst>
        </c:ser>
        <c:ser>
          <c:idx val="15"/>
          <c:order val="15"/>
          <c:tx>
            <c:strRef>
              <c:f>Sheet6!$Q$3:$Q$5</c:f>
              <c:strCache>
                <c:ptCount val="1"/>
                <c:pt idx="0">
                  <c:v>250 - Sum of Total Stock Value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Sheet6!$Q$6:$Q$17</c:f>
              <c:numCache>
                <c:formatCode>[$$-409]#,##0.00</c:formatCode>
                <c:ptCount val="11"/>
                <c:pt idx="6">
                  <c:v>1997.5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C84-4B99-954C-934DF40FA178}"/>
            </c:ext>
          </c:extLst>
        </c:ser>
        <c:ser>
          <c:idx val="16"/>
          <c:order val="16"/>
          <c:tx>
            <c:strRef>
              <c:f>Sheet6!$R$3:$R$5</c:f>
              <c:strCache>
                <c:ptCount val="1"/>
                <c:pt idx="0">
                  <c:v>500 - Sum of Unit Price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Sheet6!$R$6:$R$17</c:f>
              <c:numCache>
                <c:formatCode>[$$-409]#,##0.00</c:formatCode>
                <c:ptCount val="11"/>
                <c:pt idx="5">
                  <c:v>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C84-4B99-954C-934DF40FA178}"/>
            </c:ext>
          </c:extLst>
        </c:ser>
        <c:ser>
          <c:idx val="17"/>
          <c:order val="17"/>
          <c:tx>
            <c:strRef>
              <c:f>Sheet6!$S$3:$S$5</c:f>
              <c:strCache>
                <c:ptCount val="1"/>
                <c:pt idx="0">
                  <c:v>500 - Sum of Total Stock Value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Sheet6!$S$6:$S$17</c:f>
              <c:numCache>
                <c:formatCode>[$$-409]#,##0.00</c:formatCode>
                <c:ptCount val="11"/>
                <c:pt idx="5">
                  <c:v>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C84-4B99-954C-934DF40FA178}"/>
            </c:ext>
          </c:extLst>
        </c:ser>
        <c:ser>
          <c:idx val="18"/>
          <c:order val="18"/>
          <c:tx>
            <c:strRef>
              <c:f>Sheet6!$T$3:$T$5</c:f>
              <c:strCache>
                <c:ptCount val="1"/>
                <c:pt idx="0">
                  <c:v>547 - Sum of Unit Price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Sheet6!$T$6:$T$17</c:f>
              <c:numCache>
                <c:formatCode>[$$-409]#,##0.00</c:formatCode>
                <c:ptCount val="11"/>
                <c:pt idx="9">
                  <c:v>17.989999999999998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C84-4B99-954C-934DF40FA178}"/>
            </c:ext>
          </c:extLst>
        </c:ser>
        <c:ser>
          <c:idx val="19"/>
          <c:order val="19"/>
          <c:tx>
            <c:strRef>
              <c:f>Sheet6!$U$3:$U$5</c:f>
              <c:strCache>
                <c:ptCount val="1"/>
                <c:pt idx="0">
                  <c:v>547 - Sum of Total Stock Value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Sheet6!$U$6:$U$17</c:f>
              <c:numCache>
                <c:formatCode>[$$-409]#,##0.00</c:formatCode>
                <c:ptCount val="11"/>
                <c:pt idx="9">
                  <c:v>9840.5299999999988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C84-4B99-954C-934DF40FA178}"/>
            </c:ext>
          </c:extLst>
        </c:ser>
        <c:ser>
          <c:idx val="20"/>
          <c:order val="20"/>
          <c:tx>
            <c:strRef>
              <c:f>Sheet6!$V$3:$V$5</c:f>
              <c:strCache>
                <c:ptCount val="1"/>
                <c:pt idx="0">
                  <c:v>1000 - Sum of Unit Price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Sheet6!$V$6:$V$17</c:f>
              <c:numCache>
                <c:formatCode>[$$-409]#,##0.00</c:formatCode>
                <c:ptCount val="11"/>
                <c:pt idx="7">
                  <c:v>13.98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C84-4B99-954C-934DF40FA178}"/>
            </c:ext>
          </c:extLst>
        </c:ser>
        <c:ser>
          <c:idx val="21"/>
          <c:order val="21"/>
          <c:tx>
            <c:strRef>
              <c:f>Sheet6!$W$3:$W$5</c:f>
              <c:strCache>
                <c:ptCount val="1"/>
                <c:pt idx="0">
                  <c:v>1000 - Sum of Total Stock Value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Sheet6!$W$6:$W$17</c:f>
              <c:numCache>
                <c:formatCode>[$$-409]#,##0.00</c:formatCode>
                <c:ptCount val="11"/>
                <c:pt idx="7">
                  <c:v>13980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C84-4B99-954C-934DF40FA178}"/>
            </c:ext>
          </c:extLst>
        </c:ser>
        <c:ser>
          <c:idx val="22"/>
          <c:order val="22"/>
          <c:tx>
            <c:strRef>
              <c:f>Sheet6!$X$3:$X$5</c:f>
              <c:strCache>
                <c:ptCount val="1"/>
                <c:pt idx="0">
                  <c:v>1500 - Sum of Unit Price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Sheet6!$X$6:$X$17</c:f>
              <c:numCache>
                <c:formatCode>[$$-409]#,##0.00</c:formatCode>
                <c:ptCount val="11"/>
                <c:pt idx="9">
                  <c:v>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C84-4B99-954C-934DF40FA178}"/>
            </c:ext>
          </c:extLst>
        </c:ser>
        <c:ser>
          <c:idx val="23"/>
          <c:order val="23"/>
          <c:tx>
            <c:strRef>
              <c:f>Sheet6!$Y$3:$Y$5</c:f>
              <c:strCache>
                <c:ptCount val="1"/>
                <c:pt idx="0">
                  <c:v>1500 - Sum of Total Stock Value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Sheet6!$Y$6:$Y$17</c:f>
              <c:numCache>
                <c:formatCode>[$$-409]#,##0.00</c:formatCode>
                <c:ptCount val="11"/>
                <c:pt idx="9">
                  <c:v>5985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C84-4B99-954C-934DF40FA178}"/>
            </c:ext>
          </c:extLst>
        </c:ser>
        <c:ser>
          <c:idx val="24"/>
          <c:order val="24"/>
          <c:tx>
            <c:strRef>
              <c:f>Sheet6!$Z$3:$Z$5</c:f>
              <c:strCache>
                <c:ptCount val="1"/>
                <c:pt idx="0">
                  <c:v>2350 - Sum of Unit Price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Sheet6!$Z$6:$Z$17</c:f>
              <c:numCache>
                <c:formatCode>[$$-409]#,##0.00</c:formatCode>
                <c:ptCount val="11"/>
                <c:pt idx="8">
                  <c:v>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C84-4B99-954C-934DF40FA178}"/>
            </c:ext>
          </c:extLst>
        </c:ser>
        <c:ser>
          <c:idx val="25"/>
          <c:order val="25"/>
          <c:tx>
            <c:strRef>
              <c:f>Sheet6!$AA$3:$AA$5</c:f>
              <c:strCache>
                <c:ptCount val="1"/>
                <c:pt idx="0">
                  <c:v>2350 - Sum of Total Stock Value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Sheet6!$AA$6:$AA$17</c:f>
              <c:numCache>
                <c:formatCode>[$$-409]#,##0.00</c:formatCode>
                <c:ptCount val="11"/>
                <c:pt idx="8">
                  <c:v>7026.5000000000009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C84-4B99-954C-934DF40FA178}"/>
            </c:ext>
          </c:extLst>
        </c:ser>
        <c:ser>
          <c:idx val="26"/>
          <c:order val="26"/>
          <c:tx>
            <c:strRef>
              <c:f>Sheet6!$AB$3:$AB$5</c:f>
              <c:strCache>
                <c:ptCount val="1"/>
                <c:pt idx="0">
                  <c:v>3000 - Sum of Unit Price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Sheet6!$AB$6:$AB$17</c:f>
              <c:numCache>
                <c:formatCode>[$$-409]#,##0.00</c:formatCode>
                <c:ptCount val="11"/>
                <c:pt idx="10">
                  <c:v>7.98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C84-4B99-954C-934DF40FA178}"/>
            </c:ext>
          </c:extLst>
        </c:ser>
        <c:ser>
          <c:idx val="27"/>
          <c:order val="27"/>
          <c:tx>
            <c:strRef>
              <c:f>Sheet6!$AC$3:$AC$5</c:f>
              <c:strCache>
                <c:ptCount val="1"/>
                <c:pt idx="0">
                  <c:v>3000 - Sum of Total Stock Value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Sheet6!$A$6:$A$17</c:f>
              <c:strCache>
                <c:ptCount val="11"/>
                <c:pt idx="0">
                  <c:v>2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225</c:v>
                </c:pt>
                <c:pt idx="5">
                  <c:v>250</c:v>
                </c:pt>
                <c:pt idx="6">
                  <c:v>300</c:v>
                </c:pt>
                <c:pt idx="7">
                  <c:v>500</c:v>
                </c:pt>
                <c:pt idx="8">
                  <c:v>525</c:v>
                </c:pt>
                <c:pt idx="9">
                  <c:v>1000</c:v>
                </c:pt>
                <c:pt idx="10">
                  <c:v>2000</c:v>
                </c:pt>
              </c:strCache>
            </c:strRef>
          </c:cat>
          <c:val>
            <c:numRef>
              <c:f>Sheet6!$AC$6:$AC$17</c:f>
              <c:numCache>
                <c:formatCode>[$$-409]#,##0.00</c:formatCode>
                <c:ptCount val="11"/>
                <c:pt idx="10">
                  <c:v>23940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C84-4B99-954C-934DF40FA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31264"/>
        <c:axId val="39230784"/>
      </c:barChart>
      <c:catAx>
        <c:axId val="392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30784"/>
        <c:crosses val="autoZero"/>
        <c:auto val="1"/>
        <c:lblAlgn val="ctr"/>
        <c:lblOffset val="100"/>
        <c:noMultiLvlLbl val="0"/>
      </c:catAx>
      <c:valAx>
        <c:axId val="39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5</xdr:row>
      <xdr:rowOff>160020</xdr:rowOff>
    </xdr:from>
    <xdr:to>
      <xdr:col>10</xdr:col>
      <xdr:colOff>175260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CAC38-692B-2E8F-0DE6-225B43A63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5</xdr:row>
      <xdr:rowOff>160020</xdr:rowOff>
    </xdr:from>
    <xdr:to>
      <xdr:col>10</xdr:col>
      <xdr:colOff>175260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2EE93-E3EB-4486-2FC5-14978511A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1546860</xdr:colOff>
      <xdr:row>9</xdr:row>
      <xdr:rowOff>30480</xdr:rowOff>
    </xdr:from>
    <xdr:to>
      <xdr:col>12</xdr:col>
      <xdr:colOff>129540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EC6A7-D036-A20E-3920-E33B9BE56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06.97446597222" createdVersion="8" refreshedVersion="8" minRefreshableVersion="3" recordCount="17" xr:uid="{FBA34ABF-1FCE-458F-A6AD-4D9AFCCA6677}">
  <cacheSource type="worksheet">
    <worksheetSource ref="A1:H18" sheet="Sheet1"/>
  </cacheSource>
  <cacheFields count="8">
    <cacheField name="Product_Name" numFmtId="0">
      <sharedItems count="16">
        <s v="Bell Housing"/>
        <s v="Caulk - Clear"/>
        <s v="Caulk - White"/>
        <s v="Cement - PreMix"/>
        <s v="Electric Pump 300 amps"/>
        <s v="Electric Pump 750 amps"/>
        <s v="Flange"/>
        <s v="Gasket"/>
        <s v="Manual Pump"/>
        <s v="Pipe 1/2&quot; L-Shape"/>
        <s v="Pipe 1/2&quot; Straight"/>
        <s v="Pipe 1/4&quot; Straight"/>
        <s v="Pipe 3/4&quot; Curved"/>
        <s v="Rubber Stop"/>
        <s v="Tiles - quarter-cut "/>
        <s v="Tiles - third-cut"/>
      </sharedItems>
    </cacheField>
    <cacheField name="Store_Location" numFmtId="0">
      <sharedItems count="5">
        <s v="North America"/>
        <s v="Chicago"/>
        <s v="California"/>
        <s v="New Mexico"/>
        <s v="Alabama"/>
      </sharedItems>
    </cacheField>
    <cacheField name="Vendor" numFmtId="0">
      <sharedItems/>
    </cacheField>
    <cacheField name="Unit Price" numFmtId="164">
      <sharedItems containsSemiMixedTypes="0" containsString="0" containsNumber="1" minValue="1.99" maxValue="450"/>
    </cacheField>
    <cacheField name="Quantity in Stock" numFmtId="0">
      <sharedItems containsSemiMixedTypes="0" containsString="0" containsNumber="1" containsInteger="1" minValue="2" maxValue="3000" count="14">
        <n v="10"/>
        <n v="250"/>
        <n v="225"/>
        <n v="100"/>
        <n v="5"/>
        <n v="2"/>
        <n v="75"/>
        <n v="547"/>
        <n v="50"/>
        <n v="2350"/>
        <n v="1500"/>
        <n v="3000"/>
        <n v="500"/>
        <n v="1000"/>
      </sharedItems>
    </cacheField>
    <cacheField name="Quantity On Order" numFmtId="0">
      <sharedItems containsSemiMixedTypes="0" containsString="0" containsNumber="1" containsInteger="1" minValue="2" maxValue="2000" count="11">
        <n v="100"/>
        <n v="300"/>
        <n v="225"/>
        <n v="2"/>
        <n v="15"/>
        <n v="50"/>
        <n v="1000"/>
        <n v="525"/>
        <n v="2000"/>
        <n v="250"/>
        <n v="500"/>
      </sharedItems>
    </cacheField>
    <cacheField name="Quantity Backordered" numFmtId="0">
      <sharedItems containsSemiMixedTypes="0" containsString="0" containsNumber="1" containsInteger="1" minValue="0" maxValue="500"/>
    </cacheField>
    <cacheField name="Total Stock Value" numFmtId="164">
      <sharedItems containsSemiMixedTypes="0" containsString="0" containsNumber="1" minValue="299.5" maxValue="119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s v="Belmont"/>
    <n v="59.99"/>
    <x v="0"/>
    <x v="0"/>
    <n v="100"/>
    <n v="599.9"/>
  </r>
  <r>
    <x v="1"/>
    <x v="1"/>
    <s v="3M"/>
    <n v="7.99"/>
    <x v="1"/>
    <x v="1"/>
    <n v="100"/>
    <n v="1997.5"/>
  </r>
  <r>
    <x v="2"/>
    <x v="2"/>
    <s v="3M"/>
    <n v="6.99"/>
    <x v="2"/>
    <x v="2"/>
    <n v="100"/>
    <n v="1572.75"/>
  </r>
  <r>
    <x v="3"/>
    <x v="3"/>
    <s v="GCI"/>
    <n v="8.99"/>
    <x v="3"/>
    <x v="0"/>
    <n v="0"/>
    <n v="899"/>
  </r>
  <r>
    <x v="4"/>
    <x v="4"/>
    <s v="GE"/>
    <n v="149.99"/>
    <x v="4"/>
    <x v="3"/>
    <n v="1"/>
    <n v="749.95"/>
  </r>
  <r>
    <x v="5"/>
    <x v="0"/>
    <s v="GE"/>
    <n v="450"/>
    <x v="5"/>
    <x v="4"/>
    <n v="15"/>
    <n v="900"/>
  </r>
  <r>
    <x v="6"/>
    <x v="3"/>
    <s v="Secor"/>
    <n v="15.49"/>
    <x v="6"/>
    <x v="5"/>
    <n v="20"/>
    <n v="1161.75"/>
  </r>
  <r>
    <x v="7"/>
    <x v="0"/>
    <s v="Simmons"/>
    <n v="17.989999999999998"/>
    <x v="7"/>
    <x v="6"/>
    <n v="0"/>
    <n v="9840.5299999999988"/>
  </r>
  <r>
    <x v="8"/>
    <x v="4"/>
    <s v="VF Supply"/>
    <n v="99.99"/>
    <x v="0"/>
    <x v="3"/>
    <n v="0"/>
    <n v="999.9"/>
  </r>
  <r>
    <x v="9"/>
    <x v="4"/>
    <s v="Castor"/>
    <n v="5.99"/>
    <x v="8"/>
    <x v="6"/>
    <n v="0"/>
    <n v="299.5"/>
  </r>
  <r>
    <x v="10"/>
    <x v="1"/>
    <s v="Maxwell"/>
    <n v="2.99"/>
    <x v="9"/>
    <x v="7"/>
    <n v="0"/>
    <n v="7026.5000000000009"/>
  </r>
  <r>
    <x v="11"/>
    <x v="2"/>
    <s v="VFI"/>
    <n v="3.99"/>
    <x v="10"/>
    <x v="6"/>
    <n v="0"/>
    <n v="5985"/>
  </r>
  <r>
    <x v="12"/>
    <x v="2"/>
    <s v="Maxwell"/>
    <n v="3.99"/>
    <x v="11"/>
    <x v="8"/>
    <n v="0"/>
    <n v="11970"/>
  </r>
  <r>
    <x v="12"/>
    <x v="1"/>
    <s v="Maxwell"/>
    <n v="3.99"/>
    <x v="11"/>
    <x v="8"/>
    <n v="0"/>
    <n v="11970"/>
  </r>
  <r>
    <x v="13"/>
    <x v="0"/>
    <s v="VF Supply"/>
    <n v="1.99"/>
    <x v="12"/>
    <x v="9"/>
    <n v="0"/>
    <n v="995"/>
  </r>
  <r>
    <x v="14"/>
    <x v="3"/>
    <s v="Tile Place"/>
    <n v="4.99"/>
    <x v="13"/>
    <x v="10"/>
    <n v="500"/>
    <n v="4990"/>
  </r>
  <r>
    <x v="15"/>
    <x v="3"/>
    <s v="Tile Place"/>
    <n v="8.99"/>
    <x v="13"/>
    <x v="10"/>
    <n v="500"/>
    <n v="89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46057-D467-4375-8ACE-2BB1EA8C62A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0" firstHeaderRow="1" firstDataRow="1" firstDataCol="1"/>
  <pivotFields count="8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numFmtId="164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Store_Loca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B5ADC-18A9-4952-B072-C830DABBAB8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8">
    <pivotField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numFmtId="164" showAll="0"/>
    <pivotField showAll="0"/>
    <pivotField axis="axisRow" showAll="0">
      <items count="12">
        <item x="3"/>
        <item x="4"/>
        <item x="5"/>
        <item x="0"/>
        <item x="2"/>
        <item x="9"/>
        <item x="1"/>
        <item x="10"/>
        <item x="7"/>
        <item x="6"/>
        <item x="8"/>
        <item t="default"/>
      </items>
    </pivotField>
    <pivotField showAll="0"/>
    <pivotField dataField="1" numFmtId="164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tock Value" fld="7" baseField="0" baseItem="0" numFmtId="164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511C5-8999-4910-943C-A56892C20FE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E17" firstHeaderRow="1" firstDataRow="3" firstDataCol="1" rowPageCount="1" colPageCount="1"/>
  <pivotFields count="8">
    <pivotField showAll="0"/>
    <pivotField axis="axisPage" showAll="0">
      <items count="6">
        <item x="4"/>
        <item x="2"/>
        <item x="1"/>
        <item x="3"/>
        <item x="0"/>
        <item t="default"/>
      </items>
    </pivotField>
    <pivotField showAll="0"/>
    <pivotField dataField="1" numFmtId="164" showAll="0"/>
    <pivotField axis="axisCol" showAll="0">
      <items count="15">
        <item x="5"/>
        <item x="4"/>
        <item x="0"/>
        <item x="8"/>
        <item x="6"/>
        <item x="3"/>
        <item x="2"/>
        <item x="1"/>
        <item x="12"/>
        <item x="7"/>
        <item x="13"/>
        <item x="10"/>
        <item x="9"/>
        <item x="11"/>
        <item t="default"/>
      </items>
    </pivotField>
    <pivotField axis="axisRow" showAll="0">
      <items count="12">
        <item x="3"/>
        <item x="4"/>
        <item x="5"/>
        <item x="0"/>
        <item x="2"/>
        <item x="9"/>
        <item x="1"/>
        <item x="10"/>
        <item x="7"/>
        <item x="6"/>
        <item x="8"/>
        <item t="default"/>
      </items>
    </pivotField>
    <pivotField showAll="0"/>
    <pivotField dataField="1" numFmtId="164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4"/>
    <field x="-2"/>
  </colFields>
  <colItems count="3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Sum of Unit Price" fld="3" baseField="0" baseItem="0" numFmtId="164"/>
    <dataField name="Sum of Total Stock Value" fld="7" baseField="0" baseItem="0" numFmtId="164"/>
  </dataFields>
  <chartFormats count="28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20EC-8A37-410E-B9FA-E68455E2BC2B}">
  <dimension ref="A3:B20"/>
  <sheetViews>
    <sheetView topLeftCell="B1" workbookViewId="0">
      <selection activeCell="A3" sqref="A3"/>
    </sheetView>
  </sheetViews>
  <sheetFormatPr defaultRowHeight="17.399999999999999" x14ac:dyDescent="0.3"/>
  <cols>
    <col min="1" max="1" width="19.765625" bestFit="1" customWidth="1"/>
    <col min="2" max="2" width="22.07421875" bestFit="1" customWidth="1"/>
  </cols>
  <sheetData>
    <row r="3" spans="1:2" x14ac:dyDescent="0.3">
      <c r="A3" s="6" t="s">
        <v>40</v>
      </c>
      <c r="B3" t="s">
        <v>42</v>
      </c>
    </row>
    <row r="4" spans="1:2" x14ac:dyDescent="0.3">
      <c r="A4" s="7" t="s">
        <v>7</v>
      </c>
      <c r="B4" s="8">
        <v>1</v>
      </c>
    </row>
    <row r="5" spans="1:2" x14ac:dyDescent="0.3">
      <c r="A5" s="7" t="s">
        <v>10</v>
      </c>
      <c r="B5" s="8">
        <v>1</v>
      </c>
    </row>
    <row r="6" spans="1:2" x14ac:dyDescent="0.3">
      <c r="A6" s="7" t="s">
        <v>13</v>
      </c>
      <c r="B6" s="8">
        <v>1</v>
      </c>
    </row>
    <row r="7" spans="1:2" x14ac:dyDescent="0.3">
      <c r="A7" s="7" t="s">
        <v>15</v>
      </c>
      <c r="B7" s="8">
        <v>1</v>
      </c>
    </row>
    <row r="8" spans="1:2" x14ac:dyDescent="0.3">
      <c r="A8" s="7" t="s">
        <v>18</v>
      </c>
      <c r="B8" s="8">
        <v>1</v>
      </c>
    </row>
    <row r="9" spans="1:2" x14ac:dyDescent="0.3">
      <c r="A9" s="7" t="s">
        <v>21</v>
      </c>
      <c r="B9" s="8">
        <v>1</v>
      </c>
    </row>
    <row r="10" spans="1:2" x14ac:dyDescent="0.3">
      <c r="A10" s="7" t="s">
        <v>22</v>
      </c>
      <c r="B10" s="8">
        <v>1</v>
      </c>
    </row>
    <row r="11" spans="1:2" x14ac:dyDescent="0.3">
      <c r="A11" s="7" t="s">
        <v>24</v>
      </c>
      <c r="B11" s="8">
        <v>1</v>
      </c>
    </row>
    <row r="12" spans="1:2" x14ac:dyDescent="0.3">
      <c r="A12" s="7" t="s">
        <v>26</v>
      </c>
      <c r="B12" s="8">
        <v>1</v>
      </c>
    </row>
    <row r="13" spans="1:2" x14ac:dyDescent="0.3">
      <c r="A13" s="7" t="s">
        <v>28</v>
      </c>
      <c r="B13" s="8">
        <v>1</v>
      </c>
    </row>
    <row r="14" spans="1:2" x14ac:dyDescent="0.3">
      <c r="A14" s="7" t="s">
        <v>30</v>
      </c>
      <c r="B14" s="8">
        <v>1</v>
      </c>
    </row>
    <row r="15" spans="1:2" x14ac:dyDescent="0.3">
      <c r="A15" s="7" t="s">
        <v>32</v>
      </c>
      <c r="B15" s="8">
        <v>1</v>
      </c>
    </row>
    <row r="16" spans="1:2" x14ac:dyDescent="0.3">
      <c r="A16" s="7" t="s">
        <v>34</v>
      </c>
      <c r="B16" s="8">
        <v>2</v>
      </c>
    </row>
    <row r="17" spans="1:2" x14ac:dyDescent="0.3">
      <c r="A17" s="7" t="s">
        <v>35</v>
      </c>
      <c r="B17" s="8">
        <v>1</v>
      </c>
    </row>
    <row r="18" spans="1:2" x14ac:dyDescent="0.3">
      <c r="A18" s="7" t="s">
        <v>36</v>
      </c>
      <c r="B18" s="8">
        <v>1</v>
      </c>
    </row>
    <row r="19" spans="1:2" x14ac:dyDescent="0.3">
      <c r="A19" s="7" t="s">
        <v>38</v>
      </c>
      <c r="B19" s="8">
        <v>1</v>
      </c>
    </row>
    <row r="20" spans="1:2" x14ac:dyDescent="0.3">
      <c r="A20" s="7" t="s">
        <v>41</v>
      </c>
      <c r="B20" s="8">
        <v>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3BF9-EE86-4649-A46F-E7ADBD41D571}">
  <dimension ref="A3:B15"/>
  <sheetViews>
    <sheetView workbookViewId="0">
      <selection activeCell="A3" sqref="A3"/>
    </sheetView>
  </sheetViews>
  <sheetFormatPr defaultRowHeight="17.399999999999999" x14ac:dyDescent="0.3"/>
  <cols>
    <col min="1" max="1" width="12.3828125" bestFit="1" customWidth="1"/>
    <col min="2" max="2" width="22.4609375" bestFit="1" customWidth="1"/>
  </cols>
  <sheetData>
    <row r="3" spans="1:2" x14ac:dyDescent="0.3">
      <c r="A3" s="6" t="s">
        <v>40</v>
      </c>
      <c r="B3" t="s">
        <v>43</v>
      </c>
    </row>
    <row r="4" spans="1:2" x14ac:dyDescent="0.3">
      <c r="A4" s="7">
        <v>2</v>
      </c>
      <c r="B4" s="5">
        <v>1749.85</v>
      </c>
    </row>
    <row r="5" spans="1:2" x14ac:dyDescent="0.3">
      <c r="A5" s="7">
        <v>15</v>
      </c>
      <c r="B5" s="5">
        <v>900</v>
      </c>
    </row>
    <row r="6" spans="1:2" x14ac:dyDescent="0.3">
      <c r="A6" s="7">
        <v>50</v>
      </c>
      <c r="B6" s="5">
        <v>1161.75</v>
      </c>
    </row>
    <row r="7" spans="1:2" x14ac:dyDescent="0.3">
      <c r="A7" s="7">
        <v>100</v>
      </c>
      <c r="B7" s="5">
        <v>1498.9</v>
      </c>
    </row>
    <row r="8" spans="1:2" x14ac:dyDescent="0.3">
      <c r="A8" s="7">
        <v>225</v>
      </c>
      <c r="B8" s="5">
        <v>1572.75</v>
      </c>
    </row>
    <row r="9" spans="1:2" x14ac:dyDescent="0.3">
      <c r="A9" s="7">
        <v>250</v>
      </c>
      <c r="B9" s="5">
        <v>995</v>
      </c>
    </row>
    <row r="10" spans="1:2" x14ac:dyDescent="0.3">
      <c r="A10" s="7">
        <v>300</v>
      </c>
      <c r="B10" s="5">
        <v>1997.5</v>
      </c>
    </row>
    <row r="11" spans="1:2" x14ac:dyDescent="0.3">
      <c r="A11" s="7">
        <v>500</v>
      </c>
      <c r="B11" s="5">
        <v>13980</v>
      </c>
    </row>
    <row r="12" spans="1:2" x14ac:dyDescent="0.3">
      <c r="A12" s="7">
        <v>525</v>
      </c>
      <c r="B12" s="5">
        <v>7026.5000000000009</v>
      </c>
    </row>
    <row r="13" spans="1:2" x14ac:dyDescent="0.3">
      <c r="A13" s="7">
        <v>1000</v>
      </c>
      <c r="B13" s="5">
        <v>16125.029999999999</v>
      </c>
    </row>
    <row r="14" spans="1:2" x14ac:dyDescent="0.3">
      <c r="A14" s="7">
        <v>2000</v>
      </c>
      <c r="B14" s="5">
        <v>23940</v>
      </c>
    </row>
    <row r="15" spans="1:2" x14ac:dyDescent="0.3">
      <c r="A15" s="7" t="s">
        <v>41</v>
      </c>
      <c r="B15" s="5">
        <v>70947.28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EF2D-EAD5-4FCE-A039-11AE3F13E996}">
  <dimension ref="A1:AE17"/>
  <sheetViews>
    <sheetView topLeftCell="E1" workbookViewId="0">
      <selection activeCell="A3" sqref="A3"/>
    </sheetView>
  </sheetViews>
  <sheetFormatPr defaultRowHeight="17.399999999999999" x14ac:dyDescent="0.3"/>
  <cols>
    <col min="1" max="1" width="12.765625" bestFit="1" customWidth="1"/>
    <col min="2" max="2" width="15.765625" bestFit="1" customWidth="1"/>
    <col min="3" max="3" width="22.4609375" bestFit="1" customWidth="1"/>
    <col min="4" max="4" width="15.765625" bestFit="1" customWidth="1"/>
    <col min="5" max="5" width="22.4609375" bestFit="1" customWidth="1"/>
    <col min="6" max="6" width="15.765625" bestFit="1" customWidth="1"/>
    <col min="7" max="7" width="22.4609375" bestFit="1" customWidth="1"/>
    <col min="8" max="8" width="15.765625" bestFit="1" customWidth="1"/>
    <col min="9" max="9" width="22.4609375" bestFit="1" customWidth="1"/>
    <col min="10" max="10" width="15.765625" bestFit="1" customWidth="1"/>
    <col min="11" max="11" width="22.4609375" bestFit="1" customWidth="1"/>
    <col min="12" max="12" width="15.765625" bestFit="1" customWidth="1"/>
    <col min="13" max="13" width="22.4609375" bestFit="1" customWidth="1"/>
    <col min="14" max="14" width="15.765625" bestFit="1" customWidth="1"/>
    <col min="15" max="15" width="22.4609375" bestFit="1" customWidth="1"/>
    <col min="16" max="16" width="15.765625" bestFit="1" customWidth="1"/>
    <col min="17" max="17" width="22.4609375" bestFit="1" customWidth="1"/>
    <col min="18" max="18" width="15.765625" bestFit="1" customWidth="1"/>
    <col min="19" max="19" width="22.4609375" bestFit="1" customWidth="1"/>
    <col min="20" max="20" width="15.765625" bestFit="1" customWidth="1"/>
    <col min="21" max="21" width="22.4609375" bestFit="1" customWidth="1"/>
    <col min="22" max="22" width="15.765625" bestFit="1" customWidth="1"/>
    <col min="23" max="23" width="22.4609375" bestFit="1" customWidth="1"/>
    <col min="24" max="24" width="15.765625" bestFit="1" customWidth="1"/>
    <col min="25" max="25" width="22.4609375" bestFit="1" customWidth="1"/>
    <col min="26" max="26" width="15.765625" bestFit="1" customWidth="1"/>
    <col min="27" max="27" width="22.4609375" bestFit="1" customWidth="1"/>
    <col min="28" max="28" width="15.765625" bestFit="1" customWidth="1"/>
    <col min="29" max="29" width="22.4609375" bestFit="1" customWidth="1"/>
    <col min="30" max="30" width="20.69140625" bestFit="1" customWidth="1"/>
    <col min="31" max="31" width="27.3828125" bestFit="1" customWidth="1"/>
  </cols>
  <sheetData>
    <row r="1" spans="1:31" x14ac:dyDescent="0.3">
      <c r="A1" s="6" t="s">
        <v>1</v>
      </c>
      <c r="B1" t="s">
        <v>48</v>
      </c>
    </row>
    <row r="3" spans="1:31" x14ac:dyDescent="0.3">
      <c r="B3" s="6" t="s">
        <v>44</v>
      </c>
    </row>
    <row r="4" spans="1:31" x14ac:dyDescent="0.3">
      <c r="B4">
        <v>2</v>
      </c>
      <c r="D4">
        <v>5</v>
      </c>
      <c r="F4">
        <v>10</v>
      </c>
      <c r="H4">
        <v>50</v>
      </c>
      <c r="J4">
        <v>75</v>
      </c>
      <c r="L4">
        <v>100</v>
      </c>
      <c r="N4">
        <v>225</v>
      </c>
      <c r="P4">
        <v>250</v>
      </c>
      <c r="R4">
        <v>500</v>
      </c>
      <c r="T4">
        <v>547</v>
      </c>
      <c r="V4">
        <v>1000</v>
      </c>
      <c r="X4">
        <v>1500</v>
      </c>
      <c r="Z4">
        <v>2350</v>
      </c>
      <c r="AB4">
        <v>3000</v>
      </c>
      <c r="AD4" t="s">
        <v>46</v>
      </c>
      <c r="AE4" t="s">
        <v>47</v>
      </c>
    </row>
    <row r="5" spans="1:31" x14ac:dyDescent="0.3">
      <c r="A5" s="6" t="s">
        <v>40</v>
      </c>
      <c r="B5" t="s">
        <v>45</v>
      </c>
      <c r="C5" t="s">
        <v>43</v>
      </c>
      <c r="D5" t="s">
        <v>45</v>
      </c>
      <c r="E5" t="s">
        <v>43</v>
      </c>
      <c r="F5" t="s">
        <v>45</v>
      </c>
      <c r="G5" t="s">
        <v>43</v>
      </c>
      <c r="H5" t="s">
        <v>45</v>
      </c>
      <c r="I5" t="s">
        <v>43</v>
      </c>
      <c r="J5" t="s">
        <v>45</v>
      </c>
      <c r="K5" t="s">
        <v>43</v>
      </c>
      <c r="L5" t="s">
        <v>45</v>
      </c>
      <c r="M5" t="s">
        <v>43</v>
      </c>
      <c r="N5" t="s">
        <v>45</v>
      </c>
      <c r="O5" t="s">
        <v>43</v>
      </c>
      <c r="P5" t="s">
        <v>45</v>
      </c>
      <c r="Q5" t="s">
        <v>43</v>
      </c>
      <c r="R5" t="s">
        <v>45</v>
      </c>
      <c r="S5" t="s">
        <v>43</v>
      </c>
      <c r="T5" t="s">
        <v>45</v>
      </c>
      <c r="U5" t="s">
        <v>43</v>
      </c>
      <c r="V5" t="s">
        <v>45</v>
      </c>
      <c r="W5" t="s">
        <v>43</v>
      </c>
      <c r="X5" t="s">
        <v>45</v>
      </c>
      <c r="Y5" t="s">
        <v>43</v>
      </c>
      <c r="Z5" t="s">
        <v>45</v>
      </c>
      <c r="AA5" t="s">
        <v>43</v>
      </c>
      <c r="AB5" t="s">
        <v>45</v>
      </c>
      <c r="AC5" t="s">
        <v>43</v>
      </c>
    </row>
    <row r="6" spans="1:31" x14ac:dyDescent="0.3">
      <c r="A6" s="7">
        <v>2</v>
      </c>
      <c r="B6" s="5"/>
      <c r="C6" s="5"/>
      <c r="D6" s="5">
        <v>149.99</v>
      </c>
      <c r="E6" s="5">
        <v>749.95</v>
      </c>
      <c r="F6" s="5">
        <v>99.99</v>
      </c>
      <c r="G6" s="5">
        <v>999.9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>
        <v>249.98000000000002</v>
      </c>
      <c r="AE6" s="5">
        <v>1749.85</v>
      </c>
    </row>
    <row r="7" spans="1:31" x14ac:dyDescent="0.3">
      <c r="A7" s="7">
        <v>15</v>
      </c>
      <c r="B7" s="5">
        <v>450</v>
      </c>
      <c r="C7" s="5">
        <v>900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450</v>
      </c>
      <c r="AE7" s="5">
        <v>900</v>
      </c>
    </row>
    <row r="8" spans="1:31" x14ac:dyDescent="0.3">
      <c r="A8" s="7">
        <v>50</v>
      </c>
      <c r="B8" s="5"/>
      <c r="C8" s="5"/>
      <c r="D8" s="5"/>
      <c r="E8" s="5"/>
      <c r="F8" s="5"/>
      <c r="G8" s="5"/>
      <c r="H8" s="5"/>
      <c r="I8" s="5"/>
      <c r="J8" s="5">
        <v>15.49</v>
      </c>
      <c r="K8" s="5">
        <v>1161.75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15.49</v>
      </c>
      <c r="AE8" s="5">
        <v>1161.75</v>
      </c>
    </row>
    <row r="9" spans="1:31" x14ac:dyDescent="0.3">
      <c r="A9" s="7">
        <v>100</v>
      </c>
      <c r="B9" s="5"/>
      <c r="C9" s="5"/>
      <c r="D9" s="5"/>
      <c r="E9" s="5"/>
      <c r="F9" s="5">
        <v>59.99</v>
      </c>
      <c r="G9" s="5">
        <v>599.9</v>
      </c>
      <c r="H9" s="5"/>
      <c r="I9" s="5"/>
      <c r="J9" s="5"/>
      <c r="K9" s="5"/>
      <c r="L9" s="5">
        <v>8.99</v>
      </c>
      <c r="M9" s="5">
        <v>899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68.98</v>
      </c>
      <c r="AE9" s="5">
        <v>1498.9</v>
      </c>
    </row>
    <row r="10" spans="1:31" x14ac:dyDescent="0.3">
      <c r="A10" s="7">
        <v>225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6.99</v>
      </c>
      <c r="O10" s="5">
        <v>1572.75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>
        <v>6.99</v>
      </c>
      <c r="AE10" s="5">
        <v>1572.75</v>
      </c>
    </row>
    <row r="11" spans="1:31" x14ac:dyDescent="0.3">
      <c r="A11" s="7">
        <v>250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v>1.99</v>
      </c>
      <c r="S11" s="5">
        <v>995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1.99</v>
      </c>
      <c r="AE11" s="5">
        <v>995</v>
      </c>
    </row>
    <row r="12" spans="1:31" x14ac:dyDescent="0.3">
      <c r="A12" s="7">
        <v>300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7.99</v>
      </c>
      <c r="Q12" s="5">
        <v>1997.5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>
        <v>7.99</v>
      </c>
      <c r="AE12" s="5">
        <v>1997.5</v>
      </c>
    </row>
    <row r="13" spans="1:31" x14ac:dyDescent="0.3">
      <c r="A13" s="7">
        <v>500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13.98</v>
      </c>
      <c r="W13" s="5">
        <v>13980</v>
      </c>
      <c r="X13" s="5"/>
      <c r="Y13" s="5"/>
      <c r="Z13" s="5"/>
      <c r="AA13" s="5"/>
      <c r="AB13" s="5"/>
      <c r="AC13" s="5"/>
      <c r="AD13" s="5">
        <v>13.98</v>
      </c>
      <c r="AE13" s="5">
        <v>13980</v>
      </c>
    </row>
    <row r="14" spans="1:31" x14ac:dyDescent="0.3">
      <c r="A14" s="7">
        <v>525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2.99</v>
      </c>
      <c r="AA14" s="5">
        <v>7026.5000000000009</v>
      </c>
      <c r="AB14" s="5"/>
      <c r="AC14" s="5"/>
      <c r="AD14" s="5">
        <v>2.99</v>
      </c>
      <c r="AE14" s="5">
        <v>7026.5000000000009</v>
      </c>
    </row>
    <row r="15" spans="1:31" x14ac:dyDescent="0.3">
      <c r="A15" s="7">
        <v>1000</v>
      </c>
      <c r="B15" s="5"/>
      <c r="C15" s="5"/>
      <c r="D15" s="5"/>
      <c r="E15" s="5"/>
      <c r="F15" s="5"/>
      <c r="G15" s="5"/>
      <c r="H15" s="5">
        <v>5.99</v>
      </c>
      <c r="I15" s="5">
        <v>299.5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17.989999999999998</v>
      </c>
      <c r="U15" s="5">
        <v>9840.5299999999988</v>
      </c>
      <c r="V15" s="5"/>
      <c r="W15" s="5"/>
      <c r="X15" s="5">
        <v>3.99</v>
      </c>
      <c r="Y15" s="5">
        <v>5985</v>
      </c>
      <c r="Z15" s="5"/>
      <c r="AA15" s="5"/>
      <c r="AB15" s="5"/>
      <c r="AC15" s="5"/>
      <c r="AD15" s="5">
        <v>27.97</v>
      </c>
      <c r="AE15" s="5">
        <v>16125.029999999999</v>
      </c>
    </row>
    <row r="16" spans="1:31" x14ac:dyDescent="0.3">
      <c r="A16" s="7">
        <v>2000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7.98</v>
      </c>
      <c r="AC16" s="5">
        <v>23940</v>
      </c>
      <c r="AD16" s="5">
        <v>7.98</v>
      </c>
      <c r="AE16" s="5">
        <v>23940</v>
      </c>
    </row>
    <row r="17" spans="1:31" x14ac:dyDescent="0.3">
      <c r="A17" s="7" t="s">
        <v>41</v>
      </c>
      <c r="B17" s="5">
        <v>450</v>
      </c>
      <c r="C17" s="5">
        <v>900</v>
      </c>
      <c r="D17" s="5">
        <v>149.99</v>
      </c>
      <c r="E17" s="5">
        <v>749.95</v>
      </c>
      <c r="F17" s="5">
        <v>159.97999999999999</v>
      </c>
      <c r="G17" s="5">
        <v>1599.8</v>
      </c>
      <c r="H17" s="5">
        <v>5.99</v>
      </c>
      <c r="I17" s="5">
        <v>299.5</v>
      </c>
      <c r="J17" s="5">
        <v>15.49</v>
      </c>
      <c r="K17" s="5">
        <v>1161.75</v>
      </c>
      <c r="L17" s="5">
        <v>8.99</v>
      </c>
      <c r="M17" s="5">
        <v>899</v>
      </c>
      <c r="N17" s="5">
        <v>6.99</v>
      </c>
      <c r="O17" s="5">
        <v>1572.75</v>
      </c>
      <c r="P17" s="5">
        <v>7.99</v>
      </c>
      <c r="Q17" s="5">
        <v>1997.5</v>
      </c>
      <c r="R17" s="5">
        <v>1.99</v>
      </c>
      <c r="S17" s="5">
        <v>995</v>
      </c>
      <c r="T17" s="5">
        <v>17.989999999999998</v>
      </c>
      <c r="U17" s="5">
        <v>9840.5299999999988</v>
      </c>
      <c r="V17" s="5">
        <v>13.98</v>
      </c>
      <c r="W17" s="5">
        <v>13980</v>
      </c>
      <c r="X17" s="5">
        <v>3.99</v>
      </c>
      <c r="Y17" s="5">
        <v>5985</v>
      </c>
      <c r="Z17" s="5">
        <v>2.99</v>
      </c>
      <c r="AA17" s="5">
        <v>7026.5000000000009</v>
      </c>
      <c r="AB17" s="5">
        <v>7.98</v>
      </c>
      <c r="AC17" s="5">
        <v>23940</v>
      </c>
      <c r="AD17" s="5">
        <v>854.34000000000015</v>
      </c>
      <c r="AE17" s="5">
        <v>70947.28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E21" sqref="E21"/>
    </sheetView>
  </sheetViews>
  <sheetFormatPr defaultColWidth="9.15234375" defaultRowHeight="15" customHeight="1" x14ac:dyDescent="0.3"/>
  <cols>
    <col min="1" max="1" width="19.69140625" customWidth="1"/>
    <col min="2" max="2" width="13.07421875" customWidth="1"/>
    <col min="3" max="3" width="10.53515625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8" width="15.69140625" customWidth="1"/>
    <col min="9" max="27" width="8.4609375" customWidth="1"/>
  </cols>
  <sheetData>
    <row r="1" spans="1:8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39</v>
      </c>
    </row>
    <row r="2" spans="1:8" ht="17.25" customHeight="1" x14ac:dyDescent="0.3">
      <c r="A2" s="2" t="s">
        <v>7</v>
      </c>
      <c r="B2" s="2" t="s">
        <v>8</v>
      </c>
      <c r="C2" s="2" t="s">
        <v>9</v>
      </c>
      <c r="D2" s="3">
        <v>59.99</v>
      </c>
      <c r="E2" s="2">
        <v>10</v>
      </c>
      <c r="F2" s="2">
        <v>100</v>
      </c>
      <c r="G2" s="2">
        <v>100</v>
      </c>
      <c r="H2" s="5">
        <f>D2*E2</f>
        <v>599.9</v>
      </c>
    </row>
    <row r="3" spans="1:8" ht="17.25" customHeight="1" x14ac:dyDescent="0.3">
      <c r="A3" s="2" t="s">
        <v>10</v>
      </c>
      <c r="B3" s="2" t="s">
        <v>11</v>
      </c>
      <c r="C3" s="2" t="s">
        <v>12</v>
      </c>
      <c r="D3" s="3">
        <v>7.99</v>
      </c>
      <c r="E3" s="2">
        <v>250</v>
      </c>
      <c r="F3" s="2">
        <v>300</v>
      </c>
      <c r="G3" s="2">
        <v>100</v>
      </c>
      <c r="H3" s="5">
        <f>D3*E3</f>
        <v>1997.5</v>
      </c>
    </row>
    <row r="4" spans="1:8" ht="17.25" customHeight="1" x14ac:dyDescent="0.3">
      <c r="A4" s="2" t="s">
        <v>13</v>
      </c>
      <c r="B4" s="2" t="s">
        <v>14</v>
      </c>
      <c r="C4" s="2" t="s">
        <v>12</v>
      </c>
      <c r="D4" s="3">
        <v>6.99</v>
      </c>
      <c r="E4" s="2">
        <v>225</v>
      </c>
      <c r="F4" s="2">
        <v>225</v>
      </c>
      <c r="G4" s="2">
        <v>100</v>
      </c>
      <c r="H4" s="5">
        <f>D4*E4</f>
        <v>1572.75</v>
      </c>
    </row>
    <row r="5" spans="1:8" ht="17.25" customHeight="1" x14ac:dyDescent="0.3">
      <c r="A5" s="2" t="s">
        <v>15</v>
      </c>
      <c r="B5" s="2" t="s">
        <v>16</v>
      </c>
      <c r="C5" s="2" t="s">
        <v>17</v>
      </c>
      <c r="D5" s="3">
        <v>8.99</v>
      </c>
      <c r="E5" s="2">
        <v>100</v>
      </c>
      <c r="F5" s="2">
        <v>100</v>
      </c>
      <c r="G5" s="2">
        <v>0</v>
      </c>
      <c r="H5" s="5">
        <f t="shared" ref="H3:H18" si="0">D5*E5</f>
        <v>899</v>
      </c>
    </row>
    <row r="6" spans="1:8" ht="17.25" customHeight="1" x14ac:dyDescent="0.3">
      <c r="A6" s="2" t="s">
        <v>18</v>
      </c>
      <c r="B6" s="2" t="s">
        <v>19</v>
      </c>
      <c r="C6" s="2" t="s">
        <v>20</v>
      </c>
      <c r="D6" s="3">
        <v>149.99</v>
      </c>
      <c r="E6" s="2">
        <v>5</v>
      </c>
      <c r="F6" s="2">
        <v>2</v>
      </c>
      <c r="G6" s="2">
        <v>1</v>
      </c>
      <c r="H6" s="5">
        <f t="shared" si="0"/>
        <v>749.95</v>
      </c>
    </row>
    <row r="7" spans="1:8" ht="17.25" customHeight="1" x14ac:dyDescent="0.3">
      <c r="A7" s="2" t="s">
        <v>21</v>
      </c>
      <c r="B7" s="2" t="s">
        <v>8</v>
      </c>
      <c r="C7" s="2" t="s">
        <v>20</v>
      </c>
      <c r="D7" s="3">
        <v>450</v>
      </c>
      <c r="E7" s="2">
        <v>2</v>
      </c>
      <c r="F7" s="2">
        <v>15</v>
      </c>
      <c r="G7" s="2">
        <v>15</v>
      </c>
      <c r="H7" s="5">
        <f t="shared" si="0"/>
        <v>900</v>
      </c>
    </row>
    <row r="8" spans="1:8" ht="17.25" customHeight="1" x14ac:dyDescent="0.3">
      <c r="A8" s="2" t="s">
        <v>22</v>
      </c>
      <c r="B8" s="2" t="s">
        <v>16</v>
      </c>
      <c r="C8" s="2" t="s">
        <v>23</v>
      </c>
      <c r="D8" s="3">
        <v>15.49</v>
      </c>
      <c r="E8" s="2">
        <v>75</v>
      </c>
      <c r="F8" s="2">
        <v>50</v>
      </c>
      <c r="G8" s="2">
        <v>20</v>
      </c>
      <c r="H8" s="5">
        <f t="shared" si="0"/>
        <v>1161.75</v>
      </c>
    </row>
    <row r="9" spans="1:8" ht="17.25" customHeight="1" x14ac:dyDescent="0.3">
      <c r="A9" s="2" t="s">
        <v>24</v>
      </c>
      <c r="B9" s="2" t="s">
        <v>8</v>
      </c>
      <c r="C9" s="2" t="s">
        <v>25</v>
      </c>
      <c r="D9" s="3">
        <v>17.989999999999998</v>
      </c>
      <c r="E9" s="2">
        <v>547</v>
      </c>
      <c r="F9" s="2">
        <v>1000</v>
      </c>
      <c r="G9" s="2">
        <v>0</v>
      </c>
      <c r="H9" s="5">
        <f t="shared" si="0"/>
        <v>9840.5299999999988</v>
      </c>
    </row>
    <row r="10" spans="1:8" ht="17.25" customHeight="1" x14ac:dyDescent="0.3">
      <c r="A10" s="2" t="s">
        <v>26</v>
      </c>
      <c r="B10" s="2" t="s">
        <v>19</v>
      </c>
      <c r="C10" s="2" t="s">
        <v>27</v>
      </c>
      <c r="D10" s="3">
        <v>99.99</v>
      </c>
      <c r="E10" s="2">
        <v>10</v>
      </c>
      <c r="F10" s="2">
        <v>2</v>
      </c>
      <c r="G10" s="2">
        <v>0</v>
      </c>
      <c r="H10" s="5">
        <f t="shared" si="0"/>
        <v>999.9</v>
      </c>
    </row>
    <row r="11" spans="1:8" ht="17.25" customHeight="1" x14ac:dyDescent="0.3">
      <c r="A11" s="2" t="s">
        <v>28</v>
      </c>
      <c r="B11" s="2" t="s">
        <v>19</v>
      </c>
      <c r="C11" s="2" t="s">
        <v>29</v>
      </c>
      <c r="D11" s="3">
        <v>5.99</v>
      </c>
      <c r="E11" s="2">
        <v>50</v>
      </c>
      <c r="F11" s="2">
        <v>1000</v>
      </c>
      <c r="G11" s="2">
        <v>0</v>
      </c>
      <c r="H11" s="5">
        <f t="shared" si="0"/>
        <v>299.5</v>
      </c>
    </row>
    <row r="12" spans="1:8" ht="17.25" customHeight="1" x14ac:dyDescent="0.3">
      <c r="A12" s="2" t="s">
        <v>30</v>
      </c>
      <c r="B12" s="2" t="s">
        <v>11</v>
      </c>
      <c r="C12" s="2" t="s">
        <v>31</v>
      </c>
      <c r="D12" s="3">
        <v>2.99</v>
      </c>
      <c r="E12" s="2">
        <v>2350</v>
      </c>
      <c r="F12" s="2">
        <v>525</v>
      </c>
      <c r="G12" s="2">
        <v>0</v>
      </c>
      <c r="H12" s="5">
        <f t="shared" si="0"/>
        <v>7026.5000000000009</v>
      </c>
    </row>
    <row r="13" spans="1:8" ht="17.25" customHeight="1" x14ac:dyDescent="0.3">
      <c r="A13" s="2" t="s">
        <v>32</v>
      </c>
      <c r="B13" s="2" t="s">
        <v>14</v>
      </c>
      <c r="C13" s="2" t="s">
        <v>33</v>
      </c>
      <c r="D13" s="3">
        <v>3.99</v>
      </c>
      <c r="E13" s="2">
        <v>1500</v>
      </c>
      <c r="F13" s="2">
        <v>1000</v>
      </c>
      <c r="G13" s="2">
        <v>0</v>
      </c>
      <c r="H13" s="5">
        <f t="shared" si="0"/>
        <v>5985</v>
      </c>
    </row>
    <row r="14" spans="1:8" ht="17.25" customHeight="1" x14ac:dyDescent="0.3">
      <c r="A14" s="2" t="s">
        <v>34</v>
      </c>
      <c r="B14" s="2" t="s">
        <v>14</v>
      </c>
      <c r="C14" s="2" t="s">
        <v>31</v>
      </c>
      <c r="D14" s="3">
        <v>3.99</v>
      </c>
      <c r="E14" s="2">
        <v>3000</v>
      </c>
      <c r="F14" s="2">
        <v>2000</v>
      </c>
      <c r="G14" s="2">
        <v>0</v>
      </c>
      <c r="H14" s="5">
        <f t="shared" si="0"/>
        <v>11970</v>
      </c>
    </row>
    <row r="15" spans="1:8" ht="17.25" customHeight="1" x14ac:dyDescent="0.3">
      <c r="A15" s="2" t="s">
        <v>34</v>
      </c>
      <c r="B15" s="2" t="s">
        <v>11</v>
      </c>
      <c r="C15" s="2" t="s">
        <v>31</v>
      </c>
      <c r="D15" s="3">
        <v>3.99</v>
      </c>
      <c r="E15" s="2">
        <v>3000</v>
      </c>
      <c r="F15" s="2">
        <v>2000</v>
      </c>
      <c r="G15" s="2">
        <v>0</v>
      </c>
      <c r="H15" s="5">
        <f t="shared" si="0"/>
        <v>11970</v>
      </c>
    </row>
    <row r="16" spans="1:8" ht="17.25" customHeight="1" x14ac:dyDescent="0.3">
      <c r="A16" s="2" t="s">
        <v>35</v>
      </c>
      <c r="B16" s="2" t="s">
        <v>8</v>
      </c>
      <c r="C16" s="2" t="s">
        <v>27</v>
      </c>
      <c r="D16" s="3">
        <v>1.99</v>
      </c>
      <c r="E16" s="2">
        <v>500</v>
      </c>
      <c r="F16" s="2">
        <v>250</v>
      </c>
      <c r="G16" s="2">
        <v>0</v>
      </c>
      <c r="H16" s="5">
        <f t="shared" si="0"/>
        <v>995</v>
      </c>
    </row>
    <row r="17" spans="1:8" ht="17.25" customHeight="1" x14ac:dyDescent="0.3">
      <c r="A17" s="2" t="s">
        <v>36</v>
      </c>
      <c r="B17" s="2" t="s">
        <v>16</v>
      </c>
      <c r="C17" s="2" t="s">
        <v>37</v>
      </c>
      <c r="D17" s="3">
        <v>4.99</v>
      </c>
      <c r="E17" s="2">
        <v>1000</v>
      </c>
      <c r="F17" s="2">
        <v>500</v>
      </c>
      <c r="G17" s="2">
        <v>500</v>
      </c>
      <c r="H17" s="5">
        <f>D17*E17</f>
        <v>4990</v>
      </c>
    </row>
    <row r="18" spans="1:8" ht="17.25" customHeight="1" x14ac:dyDescent="0.3">
      <c r="A18" s="2" t="s">
        <v>38</v>
      </c>
      <c r="B18" s="2" t="s">
        <v>16</v>
      </c>
      <c r="C18" s="2" t="s">
        <v>37</v>
      </c>
      <c r="D18" s="3">
        <v>8.99</v>
      </c>
      <c r="E18" s="2">
        <v>1000</v>
      </c>
      <c r="F18" s="2">
        <v>500</v>
      </c>
      <c r="G18" s="2">
        <v>500</v>
      </c>
      <c r="H18" s="5">
        <f t="shared" si="0"/>
        <v>8990</v>
      </c>
    </row>
    <row r="19" spans="1:8" ht="17.25" customHeight="1" x14ac:dyDescent="0.3"/>
    <row r="20" spans="1:8" ht="17.25" customHeight="1" x14ac:dyDescent="0.3"/>
    <row r="21" spans="1:8" ht="17.25" customHeight="1" x14ac:dyDescent="0.3"/>
    <row r="22" spans="1:8" ht="17.25" customHeight="1" x14ac:dyDescent="0.3"/>
    <row r="23" spans="1:8" ht="17.25" customHeight="1" x14ac:dyDescent="0.3"/>
    <row r="24" spans="1:8" ht="17.25" customHeight="1" x14ac:dyDescent="0.3"/>
    <row r="25" spans="1:8" ht="17.25" customHeight="1" x14ac:dyDescent="0.3"/>
    <row r="26" spans="1:8" ht="17.25" customHeight="1" x14ac:dyDescent="0.3"/>
    <row r="27" spans="1:8" ht="17.25" customHeight="1" x14ac:dyDescent="0.3"/>
    <row r="28" spans="1:8" ht="17.25" customHeight="1" x14ac:dyDescent="0.3"/>
    <row r="29" spans="1:8" ht="17.25" customHeight="1" x14ac:dyDescent="0.3"/>
    <row r="30" spans="1:8" ht="17.25" customHeight="1" x14ac:dyDescent="0.3"/>
    <row r="31" spans="1:8" ht="17.25" customHeight="1" x14ac:dyDescent="0.3"/>
    <row r="32" spans="1:8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Sheet6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Anurag Patil</cp:lastModifiedBy>
  <dcterms:created xsi:type="dcterms:W3CDTF">2021-08-30T06:40:16Z</dcterms:created>
  <dcterms:modified xsi:type="dcterms:W3CDTF">2025-09-06T18:09:34Z</dcterms:modified>
</cp:coreProperties>
</file>