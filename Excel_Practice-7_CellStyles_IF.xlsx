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Data Analytics-Excel\"/>
    </mc:Choice>
  </mc:AlternateContent>
  <xr:revisionPtr revIDLastSave="0" documentId="13_ncr:1_{B97F2C3D-A09A-4BE0-A17D-001E2EBEA6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actice" sheetId="1" r:id="rId1"/>
    <sheet name="Answers" sheetId="2" r:id="rId2"/>
  </sheets>
  <calcPr calcId="191029"/>
</workbook>
</file>

<file path=xl/calcChain.xml><?xml version="1.0" encoding="utf-8"?>
<calcChain xmlns="http://schemas.openxmlformats.org/spreadsheetml/2006/main">
  <c r="E13" i="1" l="1"/>
  <c r="D48" i="1"/>
  <c r="D49" i="1"/>
  <c r="D50" i="1"/>
  <c r="D51" i="1"/>
  <c r="D47" i="1"/>
  <c r="C33" i="1"/>
  <c r="C32" i="1"/>
  <c r="C31" i="1"/>
  <c r="C30" i="1"/>
  <c r="C29" i="1"/>
  <c r="C59" i="1"/>
  <c r="C58" i="1"/>
  <c r="C57" i="1"/>
  <c r="C56" i="1"/>
  <c r="C42" i="1"/>
  <c r="C41" i="1"/>
  <c r="C40" i="1"/>
  <c r="C39" i="1"/>
  <c r="C38" i="1"/>
  <c r="C37" i="2"/>
  <c r="C28" i="1"/>
  <c r="C27" i="1"/>
  <c r="C26" i="1"/>
  <c r="C26" i="2"/>
  <c r="E20" i="1"/>
  <c r="E19" i="1"/>
  <c r="E18" i="1"/>
  <c r="E17" i="1"/>
  <c r="E16" i="1"/>
  <c r="E15" i="1"/>
  <c r="G14" i="1"/>
  <c r="E14" i="1"/>
  <c r="C57" i="2"/>
  <c r="C56" i="2"/>
  <c r="C58" i="2"/>
  <c r="C59" i="2"/>
  <c r="D51" i="2"/>
  <c r="D50" i="2"/>
  <c r="D49" i="2"/>
  <c r="D48" i="2"/>
  <c r="D47" i="2"/>
  <c r="C41" i="2"/>
  <c r="C40" i="2"/>
  <c r="C39" i="2"/>
  <c r="C38" i="2"/>
  <c r="C33" i="2"/>
  <c r="C32" i="2"/>
  <c r="C31" i="2"/>
  <c r="C30" i="2"/>
  <c r="C29" i="2"/>
  <c r="C28" i="2"/>
  <c r="C27" i="2"/>
  <c r="E20" i="2"/>
  <c r="E19" i="2"/>
  <c r="E18" i="2"/>
  <c r="E17" i="2"/>
  <c r="E16" i="2"/>
  <c r="E15" i="2"/>
  <c r="E14" i="2"/>
  <c r="E13" i="2"/>
</calcChain>
</file>

<file path=xl/sharedStrings.xml><?xml version="1.0" encoding="utf-8"?>
<sst xmlns="http://schemas.openxmlformats.org/spreadsheetml/2006/main" count="152" uniqueCount="70">
  <si>
    <t>Instructions:</t>
  </si>
  <si>
    <t>Apply built-in Cell Styles for consistent formatting (Home → Cell Styles). Then complete the IF, nested IF, and AND/OR/NOT tasks below. Fill ONLY the yellow cells with formulas/results.</t>
  </si>
  <si>
    <t>A) Cell Styles</t>
  </si>
  <si>
    <t>2) Apply 'Good' style to cells showing Met/Pass, 'Bad' style to Not Met/Fail (after you compute results).</t>
  </si>
  <si>
    <t>3) Create a new custom style for 'Notes' (light fill + italic) and apply to this instruction block (optional).</t>
  </si>
  <si>
    <t>B) Basic IF — Sales vs Target</t>
  </si>
  <si>
    <t>Rep</t>
  </si>
  <si>
    <t>Region</t>
  </si>
  <si>
    <t>Sales</t>
  </si>
  <si>
    <t>Target</t>
  </si>
  <si>
    <t>Status (IF)</t>
  </si>
  <si>
    <t>Anya</t>
  </si>
  <si>
    <t>North</t>
  </si>
  <si>
    <t>Hint:</t>
  </si>
  <si>
    <t>Bharat</t>
  </si>
  <si>
    <t>South</t>
  </si>
  <si>
    <t>Chetan</t>
  </si>
  <si>
    <t>East</t>
  </si>
  <si>
    <t>Deepa</t>
  </si>
  <si>
    <t>West</t>
  </si>
  <si>
    <t>Esha</t>
  </si>
  <si>
    <t>Farah</t>
  </si>
  <si>
    <t>Gaurav</t>
  </si>
  <si>
    <t>Harsh</t>
  </si>
  <si>
    <t>C) Nested IF — Grades</t>
  </si>
  <si>
    <t>Rule: ≥90 = A, ≥80 = B, ≥70 = C, else F</t>
  </si>
  <si>
    <t>Name</t>
  </si>
  <si>
    <t>Score</t>
  </si>
  <si>
    <t>Grade (Nested IF)</t>
  </si>
  <si>
    <t>Ira</t>
  </si>
  <si>
    <t>Jai</t>
  </si>
  <si>
    <t>Kriti</t>
  </si>
  <si>
    <t>Laksh</t>
  </si>
  <si>
    <t>Maya</t>
  </si>
  <si>
    <t>Nikhil</t>
  </si>
  <si>
    <t>Ovi</t>
  </si>
  <si>
    <t>Pari</t>
  </si>
  <si>
    <t>D) IF with AND / OR / NOT</t>
  </si>
  <si>
    <t>D1) Valid Order?  (AND)</t>
  </si>
  <si>
    <t>Units</t>
  </si>
  <si>
    <t>Unit Price</t>
  </si>
  <si>
    <t>Valid?</t>
  </si>
  <si>
    <t>D2) Promo Eligible?  (OR)  — Eligible if New Customer = Yes OR Region = North</t>
  </si>
  <si>
    <t>Customer</t>
  </si>
  <si>
    <t>New Customer?</t>
  </si>
  <si>
    <t>Eligible?</t>
  </si>
  <si>
    <t>Qasim</t>
  </si>
  <si>
    <t>Yes</t>
  </si>
  <si>
    <t>Riya</t>
  </si>
  <si>
    <t>No</t>
  </si>
  <si>
    <t>Samar</t>
  </si>
  <si>
    <t>Tina</t>
  </si>
  <si>
    <t>Uma</t>
  </si>
  <si>
    <t>D3) Workday?  (NOT)  — Workday if Holiday ≠ Yes</t>
  </si>
  <si>
    <t>Date</t>
  </si>
  <si>
    <t>Holiday (Yes/No)</t>
  </si>
  <si>
    <t>Workday?</t>
  </si>
  <si>
    <t>2025-09-01</t>
  </si>
  <si>
    <t>2025-09-02</t>
  </si>
  <si>
    <t>2025-09-03</t>
  </si>
  <si>
    <t>2025-09-04</t>
  </si>
  <si>
    <t>B) Basic IF — Sales vs Target (Answers)</t>
  </si>
  <si>
    <t>C) Nested IF — Grades (Answers)</t>
  </si>
  <si>
    <t>Grade</t>
  </si>
  <si>
    <t>D1) AND — Valid Order? (Answers)</t>
  </si>
  <si>
    <t>D2) OR — Promo Eligible? (Answers)</t>
  </si>
  <si>
    <t>D3) NOT — Workday? (Answers)</t>
  </si>
  <si>
    <t>1) Apply a heading style to row 12 headers in Section B.</t>
  </si>
  <si>
    <t xml:space="preserve">Excel Practice-7: Cell Styles &amp; Basic IF </t>
  </si>
  <si>
    <t xml:space="preserve">Answer Excel Practice-7: Cell Styles &amp; Basic 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</si>
</sst>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\₹#,##0.00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BEA"/>
      </patternFill>
    </fill>
    <fill>
      <patternFill patternType="solid">
        <fgColor rgb="FFE9F3FF"/>
      </patternFill>
    </fill>
    <fill>
      <patternFill patternType="solid">
        <fgColor rgb="FFFFF9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166" fontId="0" fillId="0" borderId="1" xfId="0" applyNumberFormat="1" applyBorder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27" workbookViewId="0">
      <selection activeCell="F17" sqref="F17"/>
    </sheetView>
  </sheetViews>
  <sheetFormatPr defaultRowHeight="14.4" x14ac:dyDescent="0.3"/>
  <cols>
    <col min="1" max="1" width="48" customWidth="1"/>
    <col min="2" max="2" width="18" customWidth="1"/>
    <col min="3" max="3" width="19" customWidth="1"/>
    <col min="4" max="4" width="11" customWidth="1"/>
    <col min="5" max="5" width="13" customWidth="1"/>
    <col min="6" max="6" width="10" customWidth="1"/>
    <col min="7" max="7" width="48" customWidth="1"/>
    <col min="8" max="16" width="10" customWidth="1"/>
  </cols>
  <sheetData>
    <row r="1" spans="1:9" ht="18" x14ac:dyDescent="0.35">
      <c r="A1" s="10" t="s">
        <v>68</v>
      </c>
      <c r="B1" s="11"/>
      <c r="C1" s="11"/>
      <c r="D1" s="11"/>
      <c r="E1" s="11"/>
      <c r="F1" s="11"/>
      <c r="G1" s="11"/>
      <c r="H1" s="11"/>
      <c r="I1" s="11"/>
    </row>
    <row r="3" spans="1:9" x14ac:dyDescent="0.3">
      <c r="A3" s="1" t="s">
        <v>0</v>
      </c>
    </row>
    <row r="4" spans="1:9" x14ac:dyDescent="0.3">
      <c r="A4" s="2" t="s">
        <v>1</v>
      </c>
    </row>
    <row r="6" spans="1:9" x14ac:dyDescent="0.3">
      <c r="A6" s="1" t="s">
        <v>2</v>
      </c>
    </row>
    <row r="7" spans="1:9" x14ac:dyDescent="0.3">
      <c r="A7" t="s">
        <v>67</v>
      </c>
    </row>
    <row r="8" spans="1:9" x14ac:dyDescent="0.3">
      <c r="A8" t="s">
        <v>3</v>
      </c>
    </row>
    <row r="9" spans="1:9" x14ac:dyDescent="0.3">
      <c r="A9" t="s">
        <v>4</v>
      </c>
    </row>
    <row r="11" spans="1:9" x14ac:dyDescent="0.3">
      <c r="A11" s="1" t="s">
        <v>5</v>
      </c>
    </row>
    <row r="12" spans="1:9" x14ac:dyDescent="0.3">
      <c r="A12" s="4" t="s">
        <v>6</v>
      </c>
      <c r="B12" s="4" t="s">
        <v>7</v>
      </c>
      <c r="C12" s="4" t="s">
        <v>8</v>
      </c>
      <c r="D12" s="4" t="s">
        <v>9</v>
      </c>
      <c r="E12" s="4" t="s">
        <v>10</v>
      </c>
    </row>
    <row r="13" spans="1:9" x14ac:dyDescent="0.3">
      <c r="A13" s="5" t="s">
        <v>11</v>
      </c>
      <c r="B13" s="5" t="s">
        <v>12</v>
      </c>
      <c r="C13" s="6">
        <v>120000</v>
      </c>
      <c r="D13" s="6">
        <v>110000</v>
      </c>
      <c r="E13" s="7" t="str">
        <f>IF(C13&gt;=D13, "Met", "Not Met")</f>
        <v>Met</v>
      </c>
      <c r="G13" s="3" t="s">
        <v>13</v>
      </c>
    </row>
    <row r="14" spans="1:9" x14ac:dyDescent="0.3">
      <c r="A14" s="5" t="s">
        <v>14</v>
      </c>
      <c r="B14" s="5" t="s">
        <v>15</v>
      </c>
      <c r="C14" s="6">
        <v>95000</v>
      </c>
      <c r="D14" s="6">
        <v>100000</v>
      </c>
      <c r="E14" s="7" t="str">
        <f t="shared" ref="E13:E20" si="0">IF(C14&gt;=D14, "Met", "Not Met")</f>
        <v>Not Met</v>
      </c>
      <c r="G14" t="e">
        <f>IF(Sales&gt;Q14=Target,"Met","Not Met")  (use structured refs if you convert to Table)</f>
        <v>#NAME?</v>
      </c>
    </row>
    <row r="15" spans="1:9" x14ac:dyDescent="0.3">
      <c r="A15" s="5" t="s">
        <v>16</v>
      </c>
      <c r="B15" s="5" t="s">
        <v>17</v>
      </c>
      <c r="C15" s="6">
        <v>132500</v>
      </c>
      <c r="D15" s="6">
        <v>125000</v>
      </c>
      <c r="E15" s="7" t="str">
        <f t="shared" si="0"/>
        <v>Met</v>
      </c>
    </row>
    <row r="16" spans="1:9" x14ac:dyDescent="0.3">
      <c r="A16" s="5" t="s">
        <v>18</v>
      </c>
      <c r="B16" s="5" t="s">
        <v>19</v>
      </c>
      <c r="C16" s="6">
        <v>87000</v>
      </c>
      <c r="D16" s="6">
        <v>90000</v>
      </c>
      <c r="E16" s="7" t="str">
        <f t="shared" si="0"/>
        <v>Not Met</v>
      </c>
    </row>
    <row r="17" spans="1:5" x14ac:dyDescent="0.3">
      <c r="A17" s="5" t="s">
        <v>20</v>
      </c>
      <c r="B17" s="5" t="s">
        <v>12</v>
      </c>
      <c r="C17" s="6">
        <v>101000</v>
      </c>
      <c r="D17" s="6">
        <v>101000</v>
      </c>
      <c r="E17" s="7" t="str">
        <f t="shared" si="0"/>
        <v>Met</v>
      </c>
    </row>
    <row r="18" spans="1:5" x14ac:dyDescent="0.3">
      <c r="A18" s="5" t="s">
        <v>21</v>
      </c>
      <c r="B18" s="5" t="s">
        <v>15</v>
      </c>
      <c r="C18" s="6">
        <v>76000</v>
      </c>
      <c r="D18" s="6">
        <v>80000</v>
      </c>
      <c r="E18" s="7" t="str">
        <f t="shared" si="0"/>
        <v>Not Met</v>
      </c>
    </row>
    <row r="19" spans="1:5" x14ac:dyDescent="0.3">
      <c r="A19" s="5" t="s">
        <v>22</v>
      </c>
      <c r="B19" s="5" t="s">
        <v>17</v>
      </c>
      <c r="C19" s="6">
        <v>141000</v>
      </c>
      <c r="D19" s="6">
        <v>135000</v>
      </c>
      <c r="E19" s="7" t="str">
        <f t="shared" si="0"/>
        <v>Met</v>
      </c>
    </row>
    <row r="20" spans="1:5" x14ac:dyDescent="0.3">
      <c r="A20" s="5" t="s">
        <v>23</v>
      </c>
      <c r="B20" s="5" t="s">
        <v>19</v>
      </c>
      <c r="C20" s="6">
        <v>99000</v>
      </c>
      <c r="D20" s="6">
        <v>98000</v>
      </c>
      <c r="E20" s="7" t="str">
        <f t="shared" si="0"/>
        <v>Met</v>
      </c>
    </row>
    <row r="23" spans="1:5" x14ac:dyDescent="0.3">
      <c r="A23" s="1" t="s">
        <v>24</v>
      </c>
    </row>
    <row r="24" spans="1:5" x14ac:dyDescent="0.3">
      <c r="A24" t="s">
        <v>25</v>
      </c>
    </row>
    <row r="25" spans="1:5" x14ac:dyDescent="0.3">
      <c r="A25" s="4" t="s">
        <v>26</v>
      </c>
      <c r="B25" s="4" t="s">
        <v>27</v>
      </c>
      <c r="C25" s="4" t="s">
        <v>28</v>
      </c>
    </row>
    <row r="26" spans="1:5" x14ac:dyDescent="0.3">
      <c r="A26" s="5" t="s">
        <v>29</v>
      </c>
      <c r="B26" s="5">
        <v>96</v>
      </c>
      <c r="C26" s="7" t="str">
        <f>IF(B26&gt;=90,"A",IF(B26&gt;=80,"B",IF(B26&gt;=70,"C","F")))</f>
        <v>A</v>
      </c>
    </row>
    <row r="27" spans="1:5" x14ac:dyDescent="0.3">
      <c r="A27" s="5" t="s">
        <v>30</v>
      </c>
      <c r="B27" s="5">
        <v>84</v>
      </c>
      <c r="C27" s="7" t="str">
        <f t="shared" ref="C27:C33" si="1">IF(B27&gt;=90, "A", IF(B27&gt;=80, "B", IF(B27&gt;=70, "C", "F")))</f>
        <v>B</v>
      </c>
    </row>
    <row r="28" spans="1:5" x14ac:dyDescent="0.3">
      <c r="A28" s="5" t="s">
        <v>31</v>
      </c>
      <c r="B28" s="5">
        <v>73</v>
      </c>
      <c r="C28" s="7" t="str">
        <f t="shared" si="1"/>
        <v>C</v>
      </c>
    </row>
    <row r="29" spans="1:5" x14ac:dyDescent="0.3">
      <c r="A29" s="5" t="s">
        <v>32</v>
      </c>
      <c r="B29" s="5">
        <v>69</v>
      </c>
      <c r="C29" s="7" t="str">
        <f t="shared" si="1"/>
        <v>F</v>
      </c>
    </row>
    <row r="30" spans="1:5" x14ac:dyDescent="0.3">
      <c r="A30" s="5" t="s">
        <v>33</v>
      </c>
      <c r="B30" s="5">
        <v>88</v>
      </c>
      <c r="C30" s="7" t="str">
        <f t="shared" si="1"/>
        <v>B</v>
      </c>
    </row>
    <row r="31" spans="1:5" x14ac:dyDescent="0.3">
      <c r="A31" s="5" t="s">
        <v>34</v>
      </c>
      <c r="B31" s="5">
        <v>92</v>
      </c>
      <c r="C31" s="7" t="str">
        <f t="shared" si="1"/>
        <v>A</v>
      </c>
    </row>
    <row r="32" spans="1:5" x14ac:dyDescent="0.3">
      <c r="A32" s="5" t="s">
        <v>35</v>
      </c>
      <c r="B32" s="5">
        <v>77</v>
      </c>
      <c r="C32" s="7" t="str">
        <f t="shared" si="1"/>
        <v>C</v>
      </c>
    </row>
    <row r="33" spans="1:4" x14ac:dyDescent="0.3">
      <c r="A33" s="5" t="s">
        <v>36</v>
      </c>
      <c r="B33" s="5">
        <v>81</v>
      </c>
      <c r="C33" s="7" t="str">
        <f t="shared" si="1"/>
        <v>B</v>
      </c>
    </row>
    <row r="35" spans="1:4" x14ac:dyDescent="0.3">
      <c r="A35" s="1" t="s">
        <v>37</v>
      </c>
    </row>
    <row r="36" spans="1:4" x14ac:dyDescent="0.3">
      <c r="A36" t="s">
        <v>38</v>
      </c>
    </row>
    <row r="37" spans="1:4" x14ac:dyDescent="0.3">
      <c r="A37" s="4" t="s">
        <v>39</v>
      </c>
      <c r="B37" s="4" t="s">
        <v>40</v>
      </c>
      <c r="C37" s="4" t="s">
        <v>41</v>
      </c>
    </row>
    <row r="38" spans="1:4" x14ac:dyDescent="0.3">
      <c r="A38" s="5">
        <v>5</v>
      </c>
      <c r="B38" s="8">
        <v>399</v>
      </c>
      <c r="C38" s="7" t="str">
        <f>IF(AND(A38&gt;0, B38&gt;0), "Valid", "Invalid")</f>
        <v>Valid</v>
      </c>
    </row>
    <row r="39" spans="1:4" x14ac:dyDescent="0.3">
      <c r="A39" s="5">
        <v>0</v>
      </c>
      <c r="B39" s="8">
        <v>250</v>
      </c>
      <c r="C39" s="7" t="str">
        <f>IF(AND(B39&gt;0, A39&gt;0), "Valid", "Invalid")</f>
        <v>Invalid</v>
      </c>
    </row>
    <row r="40" spans="1:4" x14ac:dyDescent="0.3">
      <c r="A40" s="5">
        <v>12</v>
      </c>
      <c r="B40" s="8">
        <v>0</v>
      </c>
      <c r="C40" s="7" t="str">
        <f>IF(AND(A40&gt;0, B40&gt;0), "Valid", "Invalid")</f>
        <v>Invalid</v>
      </c>
    </row>
    <row r="41" spans="1:4" x14ac:dyDescent="0.3">
      <c r="A41" s="5">
        <v>8</v>
      </c>
      <c r="B41" s="8">
        <v>125.5</v>
      </c>
      <c r="C41" s="7" t="str">
        <f>IF(AND(A41&gt;0, B41&gt;0), "Valid", "Invalid")</f>
        <v>Valid</v>
      </c>
    </row>
    <row r="42" spans="1:4" x14ac:dyDescent="0.3">
      <c r="A42" s="5">
        <v>3</v>
      </c>
      <c r="B42" s="8">
        <v>89</v>
      </c>
      <c r="C42" s="7" t="str">
        <f>IF(AND(A42&gt;0, B42&gt;0), "Valid", "Invalid")</f>
        <v>Valid</v>
      </c>
    </row>
    <row r="45" spans="1:4" x14ac:dyDescent="0.3">
      <c r="A45" t="s">
        <v>42</v>
      </c>
    </row>
    <row r="46" spans="1:4" x14ac:dyDescent="0.3">
      <c r="A46" s="4" t="s">
        <v>43</v>
      </c>
      <c r="B46" s="4" t="s">
        <v>44</v>
      </c>
      <c r="C46" s="4" t="s">
        <v>7</v>
      </c>
      <c r="D46" s="4" t="s">
        <v>45</v>
      </c>
    </row>
    <row r="47" spans="1:4" x14ac:dyDescent="0.3">
      <c r="A47" s="5" t="s">
        <v>46</v>
      </c>
      <c r="B47" s="5" t="s">
        <v>47</v>
      </c>
      <c r="C47" s="5" t="s">
        <v>17</v>
      </c>
      <c r="D47" s="7" t="str">
        <f>IF(OR(B47="Yes", C47="North"), "Eligible", "Not Eligible")</f>
        <v>Eligible</v>
      </c>
    </row>
    <row r="48" spans="1:4" x14ac:dyDescent="0.3">
      <c r="A48" s="5" t="s">
        <v>48</v>
      </c>
      <c r="B48" s="5" t="s">
        <v>49</v>
      </c>
      <c r="C48" s="5" t="s">
        <v>12</v>
      </c>
      <c r="D48" s="7" t="str">
        <f t="shared" ref="D48:D51" si="2">IF(OR(B48="Yes", C48="North"), "Eligible", "Not Eligible")</f>
        <v>Eligible</v>
      </c>
    </row>
    <row r="49" spans="1:4" x14ac:dyDescent="0.3">
      <c r="A49" s="5" t="s">
        <v>50</v>
      </c>
      <c r="B49" s="5" t="s">
        <v>49</v>
      </c>
      <c r="C49" s="5" t="s">
        <v>15</v>
      </c>
      <c r="D49" s="7" t="str">
        <f t="shared" si="2"/>
        <v>Not Eligible</v>
      </c>
    </row>
    <row r="50" spans="1:4" x14ac:dyDescent="0.3">
      <c r="A50" s="5" t="s">
        <v>51</v>
      </c>
      <c r="B50" s="5" t="s">
        <v>47</v>
      </c>
      <c r="C50" s="5" t="s">
        <v>19</v>
      </c>
      <c r="D50" s="7" t="str">
        <f t="shared" si="2"/>
        <v>Eligible</v>
      </c>
    </row>
    <row r="51" spans="1:4" x14ac:dyDescent="0.3">
      <c r="A51" s="5" t="s">
        <v>52</v>
      </c>
      <c r="B51" s="5" t="s">
        <v>49</v>
      </c>
      <c r="C51" s="5" t="s">
        <v>17</v>
      </c>
      <c r="D51" s="7" t="str">
        <f t="shared" si="2"/>
        <v>Not Eligible</v>
      </c>
    </row>
    <row r="54" spans="1:4" x14ac:dyDescent="0.3">
      <c r="A54" t="s">
        <v>53</v>
      </c>
    </row>
    <row r="55" spans="1:4" x14ac:dyDescent="0.3">
      <c r="A55" s="4" t="s">
        <v>54</v>
      </c>
      <c r="B55" s="4" t="s">
        <v>55</v>
      </c>
      <c r="C55" s="4" t="s">
        <v>56</v>
      </c>
    </row>
    <row r="56" spans="1:4" x14ac:dyDescent="0.3">
      <c r="A56" s="9" t="s">
        <v>57</v>
      </c>
      <c r="B56" s="5" t="s">
        <v>47</v>
      </c>
      <c r="C56" s="7" t="str">
        <f>IF(NOT(B56="Yes"), "Workday", "OFF")</f>
        <v>OFF</v>
      </c>
    </row>
    <row r="57" spans="1:4" x14ac:dyDescent="0.3">
      <c r="A57" s="9" t="s">
        <v>58</v>
      </c>
      <c r="B57" s="5" t="s">
        <v>49</v>
      </c>
      <c r="C57" s="7" t="str">
        <f>IF(NOT(B57="Yes"), "Workday", "OFF")</f>
        <v>Workday</v>
      </c>
    </row>
    <row r="58" spans="1:4" x14ac:dyDescent="0.3">
      <c r="A58" s="9" t="s">
        <v>59</v>
      </c>
      <c r="B58" s="5" t="s">
        <v>49</v>
      </c>
      <c r="C58" s="7" t="str">
        <f>IF(NOT(B58="Yes"), "Workday", "OFF")</f>
        <v>Workday</v>
      </c>
    </row>
    <row r="59" spans="1:4" x14ac:dyDescent="0.3">
      <c r="A59" s="9" t="s">
        <v>60</v>
      </c>
      <c r="B59" s="5" t="s">
        <v>47</v>
      </c>
      <c r="C59" s="7" t="str">
        <f>IF(NOT(B59="Yes"), "Workday", "OFF")</f>
        <v>OFF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topLeftCell="A25" workbookViewId="0">
      <selection activeCell="D37" sqref="D37"/>
    </sheetView>
  </sheetViews>
  <sheetFormatPr defaultRowHeight="14.4" x14ac:dyDescent="0.3"/>
  <cols>
    <col min="1" max="1" width="48" customWidth="1"/>
    <col min="2" max="2" width="18" customWidth="1"/>
    <col min="3" max="4" width="48" customWidth="1"/>
    <col min="5" max="5" width="31" customWidth="1"/>
    <col min="6" max="16" width="10" customWidth="1"/>
  </cols>
  <sheetData>
    <row r="1" spans="1:9" ht="18" x14ac:dyDescent="0.35">
      <c r="A1" s="12" t="s">
        <v>69</v>
      </c>
      <c r="B1" s="13"/>
      <c r="C1" s="13"/>
      <c r="D1" s="13"/>
      <c r="E1" s="13"/>
      <c r="F1" s="13"/>
      <c r="G1" s="13"/>
      <c r="H1" s="13"/>
      <c r="I1" s="13"/>
    </row>
    <row r="11" spans="1:9" x14ac:dyDescent="0.3">
      <c r="A11" s="1" t="s">
        <v>61</v>
      </c>
    </row>
    <row r="12" spans="1:9" x14ac:dyDescent="0.3">
      <c r="A12" s="4" t="s">
        <v>6</v>
      </c>
      <c r="B12" s="4" t="s">
        <v>7</v>
      </c>
      <c r="C12" s="4" t="s">
        <v>8</v>
      </c>
      <c r="D12" s="4" t="s">
        <v>9</v>
      </c>
      <c r="E12" s="4" t="s">
        <v>10</v>
      </c>
    </row>
    <row r="13" spans="1:9" x14ac:dyDescent="0.3">
      <c r="A13" s="5" t="s">
        <v>11</v>
      </c>
      <c r="B13" s="5" t="s">
        <v>12</v>
      </c>
      <c r="C13" s="6">
        <v>120000</v>
      </c>
      <c r="D13" s="6">
        <v>110000</v>
      </c>
      <c r="E13" s="5" t="str">
        <f t="shared" ref="E13:E20" si="0">IF(C13&gt;=D13,"Met","Not Met")</f>
        <v>Met</v>
      </c>
    </row>
    <row r="14" spans="1:9" x14ac:dyDescent="0.3">
      <c r="A14" s="5" t="s">
        <v>14</v>
      </c>
      <c r="B14" s="5" t="s">
        <v>15</v>
      </c>
      <c r="C14" s="6">
        <v>95000</v>
      </c>
      <c r="D14" s="6">
        <v>100000</v>
      </c>
      <c r="E14" s="5" t="str">
        <f t="shared" si="0"/>
        <v>Not Met</v>
      </c>
    </row>
    <row r="15" spans="1:9" x14ac:dyDescent="0.3">
      <c r="A15" s="5" t="s">
        <v>16</v>
      </c>
      <c r="B15" s="5" t="s">
        <v>17</v>
      </c>
      <c r="C15" s="6">
        <v>132500</v>
      </c>
      <c r="D15" s="6">
        <v>125000</v>
      </c>
      <c r="E15" s="5" t="str">
        <f t="shared" si="0"/>
        <v>Met</v>
      </c>
    </row>
    <row r="16" spans="1:9" x14ac:dyDescent="0.3">
      <c r="A16" s="5" t="s">
        <v>18</v>
      </c>
      <c r="B16" s="5" t="s">
        <v>19</v>
      </c>
      <c r="C16" s="6">
        <v>87000</v>
      </c>
      <c r="D16" s="6">
        <v>90000</v>
      </c>
      <c r="E16" s="5" t="str">
        <f t="shared" si="0"/>
        <v>Not Met</v>
      </c>
    </row>
    <row r="17" spans="1:5" x14ac:dyDescent="0.3">
      <c r="A17" s="5" t="s">
        <v>20</v>
      </c>
      <c r="B17" s="5" t="s">
        <v>12</v>
      </c>
      <c r="C17" s="6">
        <v>101000</v>
      </c>
      <c r="D17" s="6">
        <v>101000</v>
      </c>
      <c r="E17" s="5" t="str">
        <f t="shared" si="0"/>
        <v>Met</v>
      </c>
    </row>
    <row r="18" spans="1:5" x14ac:dyDescent="0.3">
      <c r="A18" s="5" t="s">
        <v>21</v>
      </c>
      <c r="B18" s="5" t="s">
        <v>15</v>
      </c>
      <c r="C18" s="6">
        <v>76000</v>
      </c>
      <c r="D18" s="6">
        <v>80000</v>
      </c>
      <c r="E18" s="5" t="str">
        <f t="shared" si="0"/>
        <v>Not Met</v>
      </c>
    </row>
    <row r="19" spans="1:5" x14ac:dyDescent="0.3">
      <c r="A19" s="5" t="s">
        <v>22</v>
      </c>
      <c r="B19" s="5" t="s">
        <v>17</v>
      </c>
      <c r="C19" s="6">
        <v>141000</v>
      </c>
      <c r="D19" s="6">
        <v>135000</v>
      </c>
      <c r="E19" s="5" t="str">
        <f t="shared" si="0"/>
        <v>Met</v>
      </c>
    </row>
    <row r="20" spans="1:5" x14ac:dyDescent="0.3">
      <c r="A20" s="5" t="s">
        <v>23</v>
      </c>
      <c r="B20" s="5" t="s">
        <v>19</v>
      </c>
      <c r="C20" s="6">
        <v>99000</v>
      </c>
      <c r="D20" s="6">
        <v>98000</v>
      </c>
      <c r="E20" s="5" t="str">
        <f t="shared" si="0"/>
        <v>Met</v>
      </c>
    </row>
    <row r="23" spans="1:5" x14ac:dyDescent="0.3">
      <c r="A23" s="1" t="s">
        <v>62</v>
      </c>
    </row>
    <row r="24" spans="1:5" x14ac:dyDescent="0.3">
      <c r="A24" t="s">
        <v>25</v>
      </c>
    </row>
    <row r="25" spans="1:5" x14ac:dyDescent="0.3">
      <c r="A25" s="4" t="s">
        <v>26</v>
      </c>
      <c r="B25" s="4" t="s">
        <v>27</v>
      </c>
      <c r="C25" s="4" t="s">
        <v>63</v>
      </c>
    </row>
    <row r="26" spans="1:5" x14ac:dyDescent="0.3">
      <c r="A26" s="5" t="s">
        <v>29</v>
      </c>
      <c r="B26" s="5">
        <v>96</v>
      </c>
      <c r="C26" s="5" t="str">
        <f>IF(B26&gt;=90,"A",IF(B26&gt;=80,"B",IF(B26&gt;=70,"C","F")))</f>
        <v>A</v>
      </c>
    </row>
    <row r="27" spans="1:5" x14ac:dyDescent="0.3">
      <c r="A27" s="5" t="s">
        <v>30</v>
      </c>
      <c r="B27" s="5">
        <v>84</v>
      </c>
      <c r="C27" s="5" t="str">
        <f t="shared" ref="C27:C33" si="1">IF(B27&gt;=90,"A",IF(B27&gt;=80,"B",IF(B27&gt;=70,"C","F")))</f>
        <v>B</v>
      </c>
    </row>
    <row r="28" spans="1:5" x14ac:dyDescent="0.3">
      <c r="A28" s="5" t="s">
        <v>31</v>
      </c>
      <c r="B28" s="5">
        <v>73</v>
      </c>
      <c r="C28" s="5" t="str">
        <f t="shared" si="1"/>
        <v>C</v>
      </c>
    </row>
    <row r="29" spans="1:5" x14ac:dyDescent="0.3">
      <c r="A29" s="5" t="s">
        <v>32</v>
      </c>
      <c r="B29" s="5">
        <v>69</v>
      </c>
      <c r="C29" s="5" t="str">
        <f t="shared" si="1"/>
        <v>F</v>
      </c>
    </row>
    <row r="30" spans="1:5" x14ac:dyDescent="0.3">
      <c r="A30" s="5" t="s">
        <v>33</v>
      </c>
      <c r="B30" s="5">
        <v>88</v>
      </c>
      <c r="C30" s="5" t="str">
        <f t="shared" si="1"/>
        <v>B</v>
      </c>
    </row>
    <row r="31" spans="1:5" x14ac:dyDescent="0.3">
      <c r="A31" s="5" t="s">
        <v>34</v>
      </c>
      <c r="B31" s="5">
        <v>92</v>
      </c>
      <c r="C31" s="5" t="str">
        <f t="shared" si="1"/>
        <v>A</v>
      </c>
    </row>
    <row r="32" spans="1:5" x14ac:dyDescent="0.3">
      <c r="A32" s="5" t="s">
        <v>35</v>
      </c>
      <c r="B32" s="5">
        <v>77</v>
      </c>
      <c r="C32" s="5" t="str">
        <f t="shared" si="1"/>
        <v>C</v>
      </c>
    </row>
    <row r="33" spans="1:4" x14ac:dyDescent="0.3">
      <c r="A33" s="5" t="s">
        <v>36</v>
      </c>
      <c r="B33" s="5">
        <v>81</v>
      </c>
      <c r="C33" s="5" t="str">
        <f t="shared" si="1"/>
        <v>B</v>
      </c>
    </row>
    <row r="35" spans="1:4" x14ac:dyDescent="0.3">
      <c r="A35" s="1" t="s">
        <v>64</v>
      </c>
    </row>
    <row r="36" spans="1:4" x14ac:dyDescent="0.3">
      <c r="A36" s="4" t="s">
        <v>39</v>
      </c>
      <c r="B36" s="4" t="s">
        <v>40</v>
      </c>
      <c r="C36" s="4" t="s">
        <v>41</v>
      </c>
    </row>
    <row r="37" spans="1:4" x14ac:dyDescent="0.3">
      <c r="A37" s="5">
        <v>5</v>
      </c>
      <c r="B37" s="8">
        <v>399</v>
      </c>
      <c r="C37" s="5" t="str">
        <f>IF(AND(A37&gt;0,B37&gt;0),"Valid","Invalid")</f>
        <v>Valid</v>
      </c>
    </row>
    <row r="38" spans="1:4" x14ac:dyDescent="0.3">
      <c r="A38" s="5">
        <v>0</v>
      </c>
      <c r="B38" s="8">
        <v>250</v>
      </c>
      <c r="C38" s="5" t="str">
        <f>IF(AND(A38&gt;0,B38&gt;0),"Valid","Invalid")</f>
        <v>Invalid</v>
      </c>
    </row>
    <row r="39" spans="1:4" x14ac:dyDescent="0.3">
      <c r="A39" s="5">
        <v>12</v>
      </c>
      <c r="B39" s="8">
        <v>0</v>
      </c>
      <c r="C39" s="5" t="str">
        <f>IF(AND(A39&gt;0,B39&gt;0),"Valid","Invalid")</f>
        <v>Invalid</v>
      </c>
    </row>
    <row r="40" spans="1:4" x14ac:dyDescent="0.3">
      <c r="A40" s="5">
        <v>8</v>
      </c>
      <c r="B40" s="8">
        <v>125.5</v>
      </c>
      <c r="C40" s="5" t="str">
        <f>IF(AND(A40&gt;0,B40&gt;0),"Valid","Invalid")</f>
        <v>Valid</v>
      </c>
    </row>
    <row r="41" spans="1:4" x14ac:dyDescent="0.3">
      <c r="A41" s="5">
        <v>3</v>
      </c>
      <c r="B41" s="8">
        <v>89</v>
      </c>
      <c r="C41" s="5" t="str">
        <f>IF(AND(A41&gt;0,B41&gt;0),"Valid","Invalid")</f>
        <v>Valid</v>
      </c>
    </row>
    <row r="45" spans="1:4" x14ac:dyDescent="0.3">
      <c r="A45" s="1" t="s">
        <v>65</v>
      </c>
    </row>
    <row r="46" spans="1:4" x14ac:dyDescent="0.3">
      <c r="A46" s="4" t="s">
        <v>43</v>
      </c>
      <c r="B46" s="4" t="s">
        <v>44</v>
      </c>
      <c r="C46" s="4" t="s">
        <v>7</v>
      </c>
      <c r="D46" s="4" t="s">
        <v>45</v>
      </c>
    </row>
    <row r="47" spans="1:4" x14ac:dyDescent="0.3">
      <c r="A47" s="5" t="s">
        <v>46</v>
      </c>
      <c r="B47" s="5" t="s">
        <v>47</v>
      </c>
      <c r="C47" s="5" t="s">
        <v>17</v>
      </c>
      <c r="D47" s="5" t="str">
        <f>IF(OR(B47="Yes",C47="North"),"Eligible","Not Eligible")</f>
        <v>Eligible</v>
      </c>
    </row>
    <row r="48" spans="1:4" x14ac:dyDescent="0.3">
      <c r="A48" s="5" t="s">
        <v>48</v>
      </c>
      <c r="B48" s="5" t="s">
        <v>49</v>
      </c>
      <c r="C48" s="5" t="s">
        <v>12</v>
      </c>
      <c r="D48" s="5" t="str">
        <f>IF(OR(B48="Yes",C48="North"),"Eligible","Not Eligible")</f>
        <v>Eligible</v>
      </c>
    </row>
    <row r="49" spans="1:4" x14ac:dyDescent="0.3">
      <c r="A49" s="5" t="s">
        <v>50</v>
      </c>
      <c r="B49" s="5" t="s">
        <v>49</v>
      </c>
      <c r="C49" s="5" t="s">
        <v>15</v>
      </c>
      <c r="D49" s="5" t="str">
        <f>IF(OR(B49="Yes",C49="North"),"Eligible","Not Eligible")</f>
        <v>Not Eligible</v>
      </c>
    </row>
    <row r="50" spans="1:4" x14ac:dyDescent="0.3">
      <c r="A50" s="5" t="s">
        <v>51</v>
      </c>
      <c r="B50" s="5" t="s">
        <v>47</v>
      </c>
      <c r="C50" s="5" t="s">
        <v>19</v>
      </c>
      <c r="D50" s="5" t="str">
        <f>IF(OR(B50="Yes",C50="North"),"Eligible","Not Eligible")</f>
        <v>Eligible</v>
      </c>
    </row>
    <row r="51" spans="1:4" x14ac:dyDescent="0.3">
      <c r="A51" s="5" t="s">
        <v>52</v>
      </c>
      <c r="B51" s="5" t="s">
        <v>49</v>
      </c>
      <c r="C51" s="5" t="s">
        <v>17</v>
      </c>
      <c r="D51" s="5" t="str">
        <f>IF(OR(B51="Yes",C51="North"),"Eligible","Not Eligible")</f>
        <v>Not Eligible</v>
      </c>
    </row>
    <row r="54" spans="1:4" x14ac:dyDescent="0.3">
      <c r="A54" s="1" t="s">
        <v>66</v>
      </c>
    </row>
    <row r="55" spans="1:4" x14ac:dyDescent="0.3">
      <c r="A55" s="4" t="s">
        <v>54</v>
      </c>
      <c r="B55" s="4" t="s">
        <v>55</v>
      </c>
      <c r="C55" s="4" t="s">
        <v>56</v>
      </c>
    </row>
    <row r="56" spans="1:4" x14ac:dyDescent="0.3">
      <c r="A56" s="9" t="s">
        <v>57</v>
      </c>
      <c r="B56" s="5" t="s">
        <v>47</v>
      </c>
      <c r="C56" s="5" t="str">
        <f>IF(NOT(B56="Yes"),"Workday","Off")</f>
        <v>Off</v>
      </c>
    </row>
    <row r="57" spans="1:4" x14ac:dyDescent="0.3">
      <c r="A57" s="9" t="s">
        <v>58</v>
      </c>
      <c r="B57" s="5" t="s">
        <v>49</v>
      </c>
      <c r="C57" s="5" t="str">
        <f>IF(NOT(B57="Yes"),"Workday","Off")</f>
        <v>Workday</v>
      </c>
    </row>
    <row r="58" spans="1:4" x14ac:dyDescent="0.3">
      <c r="A58" s="9" t="s">
        <v>59</v>
      </c>
      <c r="B58" s="5" t="s">
        <v>49</v>
      </c>
      <c r="C58" s="5" t="str">
        <f>IF(NOT(B58="Yes"),"Workday","Off")</f>
        <v>Workday</v>
      </c>
    </row>
    <row r="59" spans="1:4" x14ac:dyDescent="0.3">
      <c r="A59" s="9" t="s">
        <v>60</v>
      </c>
      <c r="B59" s="5" t="s">
        <v>47</v>
      </c>
      <c r="C59" s="5" t="str">
        <f>IF(NOT(B59="Yes"),"Workday","Off")</f>
        <v>Off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Patil</cp:lastModifiedBy>
  <dcterms:created xsi:type="dcterms:W3CDTF">2025-09-01T07:47:52Z</dcterms:created>
  <dcterms:modified xsi:type="dcterms:W3CDTF">2025-11-19T12:52:18Z</dcterms:modified>
</cp:coreProperties>
</file>